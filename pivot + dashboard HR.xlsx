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LBSTI Gautam Nagar\Desktop\"/>
    </mc:Choice>
  </mc:AlternateContent>
  <xr:revisionPtr revIDLastSave="0" documentId="13_ncr:1_{17BF12C6-B699-41C2-A2CA-FEE752F7E9E4}" xr6:coauthVersionLast="47" xr6:coauthVersionMax="47" xr10:uidLastSave="{00000000-0000-0000-0000-000000000000}"/>
  <bookViews>
    <workbookView xWindow="20280" yWindow="-120" windowWidth="29040" windowHeight="15840" activeTab="2" xr2:uid="{CC10ACBF-82F3-47D6-A44D-8ADE79F3BE0E}"/>
  </bookViews>
  <sheets>
    <sheet name="Data" sheetId="1" r:id="rId1"/>
    <sheet name="analysis" sheetId="2" r:id="rId2"/>
    <sheet name="DashBoard" sheetId="3" r:id="rId3"/>
  </sheets>
  <definedNames>
    <definedName name="_xlchart.v2.0" hidden="1">analysis!$V$4:$V$10</definedName>
    <definedName name="_xlchart.v2.1" hidden="1">analysis!$W$3</definedName>
    <definedName name="_xlchart.v2.2" hidden="1">analysis!$W$4:$W$10</definedName>
    <definedName name="_xlchart.v2.3" hidden="1">analysis!$V$4:$V$10</definedName>
    <definedName name="_xlchart.v2.4" hidden="1">analysis!$W$3</definedName>
    <definedName name="_xlchart.v2.5" hidden="1">analysis!$W$4:$W$10</definedName>
    <definedName name="ExternalData_1" localSheetId="0" hidden="1">Data!$A$1:$P$172</definedName>
    <definedName name="Slicer_Department">#N/A</definedName>
    <definedName name="Slicer_Reporting_Manager">#N/A</definedName>
  </definedNames>
  <calcPr calcId="191029"/>
  <pivotCaches>
    <pivotCache cacheId="4" r:id="rId4"/>
    <pivotCache cacheId="52" r:id="rId5"/>
    <pivotCache cacheId="55" r:id="rId6"/>
    <pivotCache cacheId="58" r:id="rId7"/>
    <pivotCache cacheId="61" r:id="rId8"/>
    <pivotCache cacheId="64" r:id="rId9"/>
    <pivotCache cacheId="67" r:id="rId10"/>
    <pivotCache cacheId="70" r:id="rId11"/>
    <pivotCache cacheId="73" r:id="rId12"/>
    <pivotCache cacheId="76" r:id="rId13"/>
    <pivotCache cacheId="79" r:id="rId14"/>
    <pivotCache cacheId="82" r:id="rId15"/>
    <pivotCache cacheId="85"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47948cb9-45cb-4c79-be1f-b611ed703980"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 r="W5" i="2"/>
  <c r="V6" i="2"/>
  <c r="W6" i="2"/>
  <c r="V7" i="2"/>
  <c r="W7" i="2"/>
  <c r="V8" i="2"/>
  <c r="W8" i="2"/>
  <c r="V9" i="2"/>
  <c r="W9" i="2"/>
  <c r="V10" i="2"/>
  <c r="W10" i="2"/>
  <c r="W4" i="2"/>
  <c r="V4" i="2"/>
  <c r="D33" i="2"/>
  <c r="C33" i="2"/>
  <c r="B33" i="2"/>
  <c r="A33" i="2"/>
  <c r="L32" i="2"/>
  <c r="M32" i="2" s="1"/>
  <c r="K32" i="2"/>
  <c r="D32" i="2"/>
  <c r="C32" i="2"/>
  <c r="B32" i="2"/>
  <c r="A32" i="2"/>
  <c r="L31" i="2"/>
  <c r="K31" i="2"/>
  <c r="D31" i="2"/>
  <c r="C31" i="2"/>
  <c r="B31" i="2"/>
  <c r="A31" i="2"/>
  <c r="L30" i="2"/>
  <c r="M30" i="2" s="1"/>
  <c r="K30" i="2"/>
  <c r="D30" i="2"/>
  <c r="C30" i="2"/>
  <c r="B30" i="2"/>
  <c r="A30" i="2"/>
  <c r="L29" i="2"/>
  <c r="K29" i="2"/>
  <c r="D29" i="2"/>
  <c r="C29" i="2"/>
  <c r="B29" i="2"/>
  <c r="A29" i="2"/>
  <c r="L28" i="2"/>
  <c r="M28" i="2" s="1"/>
  <c r="K28" i="2"/>
  <c r="D28" i="2"/>
  <c r="C28" i="2"/>
  <c r="E28" i="2" s="1"/>
  <c r="B28" i="2"/>
  <c r="A28" i="2"/>
  <c r="M29" i="2" l="1"/>
  <c r="M31" i="2"/>
  <c r="E29" i="2"/>
  <c r="E30" i="2" s="1"/>
  <c r="E31" i="2" s="1"/>
  <c r="E32" i="2" s="1"/>
  <c r="E3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5BB13-4FF9-4709-9BB1-FEFD72F49871}"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3F898F3A-DF0F-46A9-B7DB-82DAA7F73770}" name="Query - Sheet1" description="Connection to the 'Sheet1' query in the workbook." type="100" refreshedVersion="8" minRefreshableVersion="5">
    <extLst>
      <ext xmlns:x15="http://schemas.microsoft.com/office/spreadsheetml/2010/11/main" uri="{DE250136-89BD-433C-8126-D09CA5730AF9}">
        <x15:connection id="4afee69b-34a0-4b61-8ef0-11b5c29a992c"/>
      </ext>
    </extLst>
  </connection>
  <connection id="3" xr16:uid="{F62F9705-C492-4E72-936D-56650D2505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Emp Status].&amp;[On-Board]}"/>
  </metadataStrings>
  <mdxMetadata count="1">
    <mdx n="0" f="s">
      <ms ns="1" c="0"/>
    </mdx>
  </mdxMetadata>
  <valueMetadata count="1">
    <bk>
      <rc t="1" v="0"/>
    </bk>
  </valueMetadata>
</metadata>
</file>

<file path=xl/sharedStrings.xml><?xml version="1.0" encoding="utf-8"?>
<sst xmlns="http://schemas.openxmlformats.org/spreadsheetml/2006/main" count="1840" uniqueCount="400">
  <si>
    <t>Emp Status</t>
  </si>
  <si>
    <t>Movement</t>
  </si>
  <si>
    <t>Emp Id</t>
  </si>
  <si>
    <t>Name</t>
  </si>
  <si>
    <t>Date of Joining</t>
  </si>
  <si>
    <t>Data of Relieving</t>
  </si>
  <si>
    <t>Reporting Manager</t>
  </si>
  <si>
    <t>Emp Type</t>
  </si>
  <si>
    <t>Category</t>
  </si>
  <si>
    <t>Date of Birth</t>
  </si>
  <si>
    <t>Marital status</t>
  </si>
  <si>
    <t>Grade</t>
  </si>
  <si>
    <t>Department</t>
  </si>
  <si>
    <t>Total Experience</t>
  </si>
  <si>
    <t>stability</t>
  </si>
  <si>
    <t>Year</t>
  </si>
  <si>
    <t>On-Board</t>
  </si>
  <si>
    <t>189095</t>
  </si>
  <si>
    <t>Sammy Hancock</t>
  </si>
  <si>
    <t>Alejandra Mack</t>
  </si>
  <si>
    <t>Permanent</t>
  </si>
  <si>
    <t>Male</t>
  </si>
  <si>
    <t>Single</t>
  </si>
  <si>
    <t>Management</t>
  </si>
  <si>
    <t>Operations</t>
  </si>
  <si>
    <t>5+ years</t>
  </si>
  <si>
    <t>110700</t>
  </si>
  <si>
    <t>Vincenzo Mcdowell</t>
  </si>
  <si>
    <t>Finance</t>
  </si>
  <si>
    <t>131049</t>
  </si>
  <si>
    <t>Wesley Berger</t>
  </si>
  <si>
    <t>126718</t>
  </si>
  <si>
    <t>Tricia Arroyo</t>
  </si>
  <si>
    <t>Trainees</t>
  </si>
  <si>
    <t>Accounting</t>
  </si>
  <si>
    <t>192425</t>
  </si>
  <si>
    <t>Kennith Barber</t>
  </si>
  <si>
    <t>Roberta Moyer</t>
  </si>
  <si>
    <t>174008</t>
  </si>
  <si>
    <t>Alonzo Harrison</t>
  </si>
  <si>
    <t>Janelle Wiley</t>
  </si>
  <si>
    <t>Female</t>
  </si>
  <si>
    <t>110646</t>
  </si>
  <si>
    <t>Zackary Tucker</t>
  </si>
  <si>
    <t>Geneva Hardy</t>
  </si>
  <si>
    <t>Married</t>
  </si>
  <si>
    <t>114446</t>
  </si>
  <si>
    <t>Roberto Ford</t>
  </si>
  <si>
    <t>Jefferson Perry</t>
  </si>
  <si>
    <t>189125</t>
  </si>
  <si>
    <t>Sadie Mcmahon</t>
  </si>
  <si>
    <t>Ryan Simmons</t>
  </si>
  <si>
    <t>110730</t>
  </si>
  <si>
    <t>Darryl Leon</t>
  </si>
  <si>
    <t>131079</t>
  </si>
  <si>
    <t>Letitia Church</t>
  </si>
  <si>
    <t>180612</t>
  </si>
  <si>
    <t>Collin Paul</t>
  </si>
  <si>
    <t>Professional</t>
  </si>
  <si>
    <t>101286</t>
  </si>
  <si>
    <t>Alexis Conway</t>
  </si>
  <si>
    <t>Legal</t>
  </si>
  <si>
    <t>115742</t>
  </si>
  <si>
    <t>Leanne Mosley</t>
  </si>
  <si>
    <t>HR</t>
  </si>
  <si>
    <t>126064</t>
  </si>
  <si>
    <t>Renaldo Navarro</t>
  </si>
  <si>
    <t>173140</t>
  </si>
  <si>
    <t>Sonia Ortiz</t>
  </si>
  <si>
    <t>178955</t>
  </si>
  <si>
    <t>Mariana Chavez</t>
  </si>
  <si>
    <t>129852</t>
  </si>
  <si>
    <t>Sally Hinton</t>
  </si>
  <si>
    <t>4+ years</t>
  </si>
  <si>
    <t>194976</t>
  </si>
  <si>
    <t>Jessie Bowen</t>
  </si>
  <si>
    <t>132557</t>
  </si>
  <si>
    <t>Mac Marquez</t>
  </si>
  <si>
    <t>129765</t>
  </si>
  <si>
    <t>Vera Harvey</t>
  </si>
  <si>
    <t>154732</t>
  </si>
  <si>
    <t>Cristina David</t>
  </si>
  <si>
    <t>137413</t>
  </si>
  <si>
    <t>Florence Randall</t>
  </si>
  <si>
    <t>185734</t>
  </si>
  <si>
    <t>Andrea Logan</t>
  </si>
  <si>
    <t>142749</t>
  </si>
  <si>
    <t>Barrett Wallace</t>
  </si>
  <si>
    <t>144530</t>
  </si>
  <si>
    <t>Mason Wells</t>
  </si>
  <si>
    <t>Sales</t>
  </si>
  <si>
    <t>101259</t>
  </si>
  <si>
    <t>Whitney Vance</t>
  </si>
  <si>
    <t>3+ years</t>
  </si>
  <si>
    <t>122323</t>
  </si>
  <si>
    <t>Bobbie Harvey</t>
  </si>
  <si>
    <t>136489</t>
  </si>
  <si>
    <t>Russel Fox</t>
  </si>
  <si>
    <t>107161</t>
  </si>
  <si>
    <t>Benita Holland</t>
  </si>
  <si>
    <t>182061</t>
  </si>
  <si>
    <t>Cory Leblanc</t>
  </si>
  <si>
    <t>123190</t>
  </si>
  <si>
    <t>Isaiah George</t>
  </si>
  <si>
    <t>118638</t>
  </si>
  <si>
    <t>Brad Nichols</t>
  </si>
  <si>
    <t>132330</t>
  </si>
  <si>
    <t>Quentin Mcdonald</t>
  </si>
  <si>
    <t>191594</t>
  </si>
  <si>
    <t>Johnie Pruitt</t>
  </si>
  <si>
    <t>194143</t>
  </si>
  <si>
    <t>Casandra Aguilar</t>
  </si>
  <si>
    <t>115395</t>
  </si>
  <si>
    <t>Hillary Spencer</t>
  </si>
  <si>
    <t>160948</t>
  </si>
  <si>
    <t>Joesph Jones</t>
  </si>
  <si>
    <t>163814</t>
  </si>
  <si>
    <t>Otha May</t>
  </si>
  <si>
    <t>163161</t>
  </si>
  <si>
    <t>Ophelia Black</t>
  </si>
  <si>
    <t>173240</t>
  </si>
  <si>
    <t>Helena Williamson</t>
  </si>
  <si>
    <t>109673</t>
  </si>
  <si>
    <t>Megan Kent</t>
  </si>
  <si>
    <t>138302</t>
  </si>
  <si>
    <t>Rufus Escobar</t>
  </si>
  <si>
    <t>100957</t>
  </si>
  <si>
    <t>Blanche Greer</t>
  </si>
  <si>
    <t>2+ years</t>
  </si>
  <si>
    <t>180698</t>
  </si>
  <si>
    <t>Francesco Blanchard</t>
  </si>
  <si>
    <t>167822</t>
  </si>
  <si>
    <t>Ashlee Ortega</t>
  </si>
  <si>
    <t>161037</t>
  </si>
  <si>
    <t>Edmund Lawson</t>
  </si>
  <si>
    <t>153255</t>
  </si>
  <si>
    <t>Linda Jacobs</t>
  </si>
  <si>
    <t>123179</t>
  </si>
  <si>
    <t>Kelley Harding</t>
  </si>
  <si>
    <t>189554</t>
  </si>
  <si>
    <t>Rose Carney</t>
  </si>
  <si>
    <t>186786</t>
  </si>
  <si>
    <t>Emery Goodwin</t>
  </si>
  <si>
    <t>186818</t>
  </si>
  <si>
    <t>Derick Singh</t>
  </si>
  <si>
    <t>147963</t>
  </si>
  <si>
    <t>Hassan Wilcox</t>
  </si>
  <si>
    <t>150614</t>
  </si>
  <si>
    <t>Natalie Serrano</t>
  </si>
  <si>
    <t>137151</t>
  </si>
  <si>
    <t>Sandy Singleton</t>
  </si>
  <si>
    <t>118694</t>
  </si>
  <si>
    <t>Sallie Carpenter</t>
  </si>
  <si>
    <t>Marketing</t>
  </si>
  <si>
    <t>195849</t>
  </si>
  <si>
    <t>Allen Walters</t>
  </si>
  <si>
    <t>182665</t>
  </si>
  <si>
    <t>Flora Bass</t>
  </si>
  <si>
    <t>151067</t>
  </si>
  <si>
    <t>151539</t>
  </si>
  <si>
    <t>Consuelo Beck</t>
  </si>
  <si>
    <t>148895</t>
  </si>
  <si>
    <t>Barney Velasquez</t>
  </si>
  <si>
    <t>170085</t>
  </si>
  <si>
    <t>Glenda Ayers</t>
  </si>
  <si>
    <t>148355</t>
  </si>
  <si>
    <t>Vonda Chandler</t>
  </si>
  <si>
    <t>132724</t>
  </si>
  <si>
    <t>Elma Perkins</t>
  </si>
  <si>
    <t>1+ years</t>
  </si>
  <si>
    <t>136024</t>
  </si>
  <si>
    <t>Irving Good</t>
  </si>
  <si>
    <t>140505</t>
  </si>
  <si>
    <t>Fermin Maddox</t>
  </si>
  <si>
    <t>166500</t>
  </si>
  <si>
    <t>Wendell Bonilla</t>
  </si>
  <si>
    <t>107622</t>
  </si>
  <si>
    <t>Luciano Arnold</t>
  </si>
  <si>
    <t>140845</t>
  </si>
  <si>
    <t>Aimee Freeman</t>
  </si>
  <si>
    <t>196163</t>
  </si>
  <si>
    <t>Jarrett Henson</t>
  </si>
  <si>
    <t>143527</t>
  </si>
  <si>
    <t>Garland Barber</t>
  </si>
  <si>
    <t>121781</t>
  </si>
  <si>
    <t>Filiberto Baird</t>
  </si>
  <si>
    <t>131453</t>
  </si>
  <si>
    <t>Cecile Garner</t>
  </si>
  <si>
    <t>133611</t>
  </si>
  <si>
    <t>Art Kim</t>
  </si>
  <si>
    <t>158773</t>
  </si>
  <si>
    <t>Grover Kramer</t>
  </si>
  <si>
    <t>109333</t>
  </si>
  <si>
    <t>Milan Pope</t>
  </si>
  <si>
    <t>165233</t>
  </si>
  <si>
    <t>Randal Mata</t>
  </si>
  <si>
    <t>168841</t>
  </si>
  <si>
    <t>136555</t>
  </si>
  <si>
    <t>Santos Mooney</t>
  </si>
  <si>
    <t>109886</t>
  </si>
  <si>
    <t>Theodore Dinh</t>
  </si>
  <si>
    <t>135596</t>
  </si>
  <si>
    <t>Austin Vo</t>
  </si>
  <si>
    <t>102045</t>
  </si>
  <si>
    <t>Jermaine Benitez</t>
  </si>
  <si>
    <t>&lt;1 years</t>
  </si>
  <si>
    <t>137966</t>
  </si>
  <si>
    <t>Joshua Gupta</t>
  </si>
  <si>
    <t>146341</t>
  </si>
  <si>
    <t>Dave Armstrong</t>
  </si>
  <si>
    <t>CT11735</t>
  </si>
  <si>
    <t>Regina Schaefer</t>
  </si>
  <si>
    <t>Contract</t>
  </si>
  <si>
    <t>CT10131</t>
  </si>
  <si>
    <t>Donna Sparks</t>
  </si>
  <si>
    <t>CT12948</t>
  </si>
  <si>
    <t>Olen Walter</t>
  </si>
  <si>
    <t>CT18269</t>
  </si>
  <si>
    <t>Maura Huynh</t>
  </si>
  <si>
    <t>CT13664</t>
  </si>
  <si>
    <t>Marion Harmon</t>
  </si>
  <si>
    <t>CT10043</t>
  </si>
  <si>
    <t>Shawn Ross</t>
  </si>
  <si>
    <t>CT16547</t>
  </si>
  <si>
    <t>Houston Wilson</t>
  </si>
  <si>
    <t>CT11188</t>
  </si>
  <si>
    <t>Maricela Gates</t>
  </si>
  <si>
    <t>CT14537</t>
  </si>
  <si>
    <t>Fletcher Tate</t>
  </si>
  <si>
    <t>CT14690</t>
  </si>
  <si>
    <t>Emily Davis</t>
  </si>
  <si>
    <t>CT16195</t>
  </si>
  <si>
    <t>Penelope Jordan</t>
  </si>
  <si>
    <t>CT16735</t>
  </si>
  <si>
    <t>Alfredo Mcclain</t>
  </si>
  <si>
    <t>IJP</t>
  </si>
  <si>
    <t>CT18807</t>
  </si>
  <si>
    <t>Adrian Odonnell</t>
  </si>
  <si>
    <t>107224</t>
  </si>
  <si>
    <t>Preston Case</t>
  </si>
  <si>
    <t>147637</t>
  </si>
  <si>
    <t>183900</t>
  </si>
  <si>
    <t>Norris Madden</t>
  </si>
  <si>
    <t>188035</t>
  </si>
  <si>
    <t>Chris Mcbride</t>
  </si>
  <si>
    <t>183930</t>
  </si>
  <si>
    <t>Darla Parks</t>
  </si>
  <si>
    <t>OnRoll</t>
  </si>
  <si>
    <t>190396</t>
  </si>
  <si>
    <t>Valentin Mcdonald</t>
  </si>
  <si>
    <t>115441</t>
  </si>
  <si>
    <t>Alba Norton</t>
  </si>
  <si>
    <t>169669</t>
  </si>
  <si>
    <t>Sanford Patterson</t>
  </si>
  <si>
    <t>151636</t>
  </si>
  <si>
    <t>Lucio Christian</t>
  </si>
  <si>
    <t>173529</t>
  </si>
  <si>
    <t>Greg Schaefer</t>
  </si>
  <si>
    <t>116633</t>
  </si>
  <si>
    <t>Adriana Little</t>
  </si>
  <si>
    <t>160990</t>
  </si>
  <si>
    <t>Abdul Khan</t>
  </si>
  <si>
    <t>173998</t>
  </si>
  <si>
    <t>Josiah Hart</t>
  </si>
  <si>
    <t>103925</t>
  </si>
  <si>
    <t>Wayne Hartman</t>
  </si>
  <si>
    <t>188212</t>
  </si>
  <si>
    <t>Roberto Harper</t>
  </si>
  <si>
    <t>188527</t>
  </si>
  <si>
    <t>Isabella Miles</t>
  </si>
  <si>
    <t>114477</t>
  </si>
  <si>
    <t>Jamaal Delgado</t>
  </si>
  <si>
    <t>186654</t>
  </si>
  <si>
    <t>Carlo Stephens</t>
  </si>
  <si>
    <t>196256</t>
  </si>
  <si>
    <t>Hank Copeland</t>
  </si>
  <si>
    <t>190716</t>
  </si>
  <si>
    <t>Reed Pena</t>
  </si>
  <si>
    <t>103360</t>
  </si>
  <si>
    <t>Pete Arroyo</t>
  </si>
  <si>
    <t>Transfer</t>
  </si>
  <si>
    <t>161242</t>
  </si>
  <si>
    <t>Royce Schneider</t>
  </si>
  <si>
    <t>152991</t>
  </si>
  <si>
    <t>Walker Whitney</t>
  </si>
  <si>
    <t>134729</t>
  </si>
  <si>
    <t>Lynn Andersen</t>
  </si>
  <si>
    <t>126765</t>
  </si>
  <si>
    <t>Ericka Hurst</t>
  </si>
  <si>
    <t>188099</t>
  </si>
  <si>
    <t>Johnny Cisneros</t>
  </si>
  <si>
    <t>193737</t>
  </si>
  <si>
    <t>Nita Powers</t>
  </si>
  <si>
    <t>Attrition</t>
  </si>
  <si>
    <t>123680</t>
  </si>
  <si>
    <t>Luna Sanders</t>
  </si>
  <si>
    <t>CT12674</t>
  </si>
  <si>
    <t>Marina Velazquez</t>
  </si>
  <si>
    <t>CT16953</t>
  </si>
  <si>
    <t>Sal Glass</t>
  </si>
  <si>
    <t>CT11213</t>
  </si>
  <si>
    <t>Malik Schneider</t>
  </si>
  <si>
    <t>CT17933</t>
  </si>
  <si>
    <t>Fanny Hampton</t>
  </si>
  <si>
    <t>CT17253</t>
  </si>
  <si>
    <t>Edison York</t>
  </si>
  <si>
    <t>CT14693</t>
  </si>
  <si>
    <t>Geraldo Pugh</t>
  </si>
  <si>
    <t>CT11465</t>
  </si>
  <si>
    <t>Ellis Best</t>
  </si>
  <si>
    <t>CT11145</t>
  </si>
  <si>
    <t>Mckinley Baird</t>
  </si>
  <si>
    <t>CT13931</t>
  </si>
  <si>
    <t>Buster Joyce</t>
  </si>
  <si>
    <t>CT15252</t>
  </si>
  <si>
    <t>Rosanna Bauer</t>
  </si>
  <si>
    <t>148467</t>
  </si>
  <si>
    <t>Branden Kaiser</t>
  </si>
  <si>
    <t>114416</t>
  </si>
  <si>
    <t>Julia Bell</t>
  </si>
  <si>
    <t>123874</t>
  </si>
  <si>
    <t>Mabel Cuevas</t>
  </si>
  <si>
    <t>180582</t>
  </si>
  <si>
    <t>Bart Sims</t>
  </si>
  <si>
    <t>129735</t>
  </si>
  <si>
    <t>117328</t>
  </si>
  <si>
    <t>Kirk Wagner</t>
  </si>
  <si>
    <t>154702</t>
  </si>
  <si>
    <t>Frances Leblanc</t>
  </si>
  <si>
    <t>137383</t>
  </si>
  <si>
    <t>185704</t>
  </si>
  <si>
    <t>151727</t>
  </si>
  <si>
    <t>Chi Preston</t>
  </si>
  <si>
    <t>135167</t>
  </si>
  <si>
    <t>Randolph Reilly</t>
  </si>
  <si>
    <t>100971</t>
  </si>
  <si>
    <t>Howard Wiggins</t>
  </si>
  <si>
    <t>145787</t>
  </si>
  <si>
    <t>Palmer Hart</t>
  </si>
  <si>
    <t>170924</t>
  </si>
  <si>
    <t>Lesa Terrell</t>
  </si>
  <si>
    <t>129573</t>
  </si>
  <si>
    <t>Celeste Moses</t>
  </si>
  <si>
    <t>181592</t>
  </si>
  <si>
    <t>Faith Lopez</t>
  </si>
  <si>
    <t>144158</t>
  </si>
  <si>
    <t>Kim Ramirez</t>
  </si>
  <si>
    <t>110616</t>
  </si>
  <si>
    <t>Tracey Burch</t>
  </si>
  <si>
    <t>120981</t>
  </si>
  <si>
    <t>Gabriela Juarez</t>
  </si>
  <si>
    <t>140182</t>
  </si>
  <si>
    <t>Katheryn Trevino</t>
  </si>
  <si>
    <t>174057</t>
  </si>
  <si>
    <t>Angelita Townsend</t>
  </si>
  <si>
    <t>124194</t>
  </si>
  <si>
    <t>Damon Burgess</t>
  </si>
  <si>
    <t>185420</t>
  </si>
  <si>
    <t>Olen Watts</t>
  </si>
  <si>
    <t>184945</t>
  </si>
  <si>
    <t>Raymond Levine</t>
  </si>
  <si>
    <t>139272</t>
  </si>
  <si>
    <t>Katelyn Ware</t>
  </si>
  <si>
    <t>187280</t>
  </si>
  <si>
    <t>Spencer Webb</t>
  </si>
  <si>
    <t>156965</t>
  </si>
  <si>
    <t>Kara Mclean</t>
  </si>
  <si>
    <t>192455</t>
  </si>
  <si>
    <t>Damian Mckee</t>
  </si>
  <si>
    <t>174038</t>
  </si>
  <si>
    <t>Mohamed Duran</t>
  </si>
  <si>
    <t>116657</t>
  </si>
  <si>
    <t>Claude Ramsey</t>
  </si>
  <si>
    <t>101996</t>
  </si>
  <si>
    <t>Alexander Fowler</t>
  </si>
  <si>
    <t>138939</t>
  </si>
  <si>
    <t>Susanna Humphrey</t>
  </si>
  <si>
    <t>198396</t>
  </si>
  <si>
    <t>Beth Lowe</t>
  </si>
  <si>
    <t>186526</t>
  </si>
  <si>
    <t>Leola Vega</t>
  </si>
  <si>
    <t>124433</t>
  </si>
  <si>
    <t>Elias Davis</t>
  </si>
  <si>
    <t>170513</t>
  </si>
  <si>
    <t>Marissa Mckee</t>
  </si>
  <si>
    <t>Row Labels</t>
  </si>
  <si>
    <t>Grand Total</t>
  </si>
  <si>
    <t>Count of Name</t>
  </si>
  <si>
    <t>Column Labels</t>
  </si>
  <si>
    <t>KPI</t>
  </si>
  <si>
    <t>Overall HC</t>
  </si>
  <si>
    <t>Active HC</t>
  </si>
  <si>
    <t>Attrition %</t>
  </si>
  <si>
    <t>Hc</t>
  </si>
  <si>
    <t>HC Growth</t>
  </si>
  <si>
    <t>years</t>
  </si>
  <si>
    <t>grade</t>
  </si>
  <si>
    <t>HC</t>
  </si>
  <si>
    <t>HC %</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</si>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</sst>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2" borderId="0" xfId="0" applyFill="1"/>
    <xf numFmtId="9" fontId="0" fillId="0" borderId="0" xfId="1" applyFont="1"/>
    <xf numFmtId="10" fontId="0" fillId="0" borderId="0" xfId="0" applyNumberFormat="1"/>
    <xf numFmtId="0" fontId="0" fillId="0" borderId="0" xfId="0" applyNumberFormat="1"/>
  </cellXfs>
  <cellStyles count="2">
    <cellStyle name="Normal" xfId="0" builtinId="0"/>
    <cellStyle name="Percent" xfId="1" builtinId="5"/>
  </cellStyles>
  <dxfs count="2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9" tint="-0.499984740745262"/>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hr style" pivot="0" table="0" count="10" xr9:uid="{CB666BA1-2BBE-4E1A-A0B5-17141D616BC4}">
      <tableStyleElement type="wholeTable" dxfId="24"/>
      <tableStyleElement type="headerRow" dxfId="23"/>
    </tableStyle>
  </tableStyles>
  <colors>
    <mruColors>
      <color rgb="FFFF007F"/>
      <color rgb="FF902D41"/>
      <color rgb="FF004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h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c:name>
    <c:fmtId val="0"/>
  </c:pivotSource>
  <c:chart>
    <c:autoTitleDeleted val="0"/>
    <c:pivotFmts>
      <c:pivotFmt>
        <c:idx val="0"/>
        <c:spPr>
          <a:solidFill>
            <a:srgbClr val="004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02D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analysis!$B$1:$B$2</c:f>
              <c:strCache>
                <c:ptCount val="1"/>
                <c:pt idx="0">
                  <c:v>Attrition</c:v>
                </c:pt>
              </c:strCache>
            </c:strRef>
          </c:tx>
          <c:spPr>
            <a:solidFill>
              <a:srgbClr val="004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2020</c:v>
                </c:pt>
                <c:pt idx="1">
                  <c:v>2021</c:v>
                </c:pt>
                <c:pt idx="2">
                  <c:v>2022</c:v>
                </c:pt>
                <c:pt idx="3">
                  <c:v>2023</c:v>
                </c:pt>
                <c:pt idx="4">
                  <c:v>2024</c:v>
                </c:pt>
                <c:pt idx="5">
                  <c:v>2025</c:v>
                </c:pt>
              </c:strCache>
            </c:strRef>
          </c:cat>
          <c:val>
            <c:numRef>
              <c:f>analysis!$B$3:$B$9</c:f>
              <c:numCache>
                <c:formatCode>General</c:formatCode>
                <c:ptCount val="6"/>
                <c:pt idx="0">
                  <c:v>20</c:v>
                </c:pt>
                <c:pt idx="1">
                  <c:v>12</c:v>
                </c:pt>
                <c:pt idx="2">
                  <c:v>10</c:v>
                </c:pt>
                <c:pt idx="3">
                  <c:v>4</c:v>
                </c:pt>
                <c:pt idx="5">
                  <c:v>1</c:v>
                </c:pt>
              </c:numCache>
            </c:numRef>
          </c:val>
          <c:extLst>
            <c:ext xmlns:c16="http://schemas.microsoft.com/office/drawing/2014/chart" uri="{C3380CC4-5D6E-409C-BE32-E72D297353CC}">
              <c16:uniqueId val="{00000000-CB3B-496D-A857-E97D026E2A2B}"/>
            </c:ext>
          </c:extLst>
        </c:ser>
        <c:ser>
          <c:idx val="1"/>
          <c:order val="1"/>
          <c:tx>
            <c:strRef>
              <c:f>analysis!$C$1:$C$2</c:f>
              <c:strCache>
                <c:ptCount val="1"/>
                <c:pt idx="0">
                  <c:v>On-Board</c:v>
                </c:pt>
              </c:strCache>
            </c:strRef>
          </c:tx>
          <c:spPr>
            <a:solidFill>
              <a:srgbClr val="902D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2020</c:v>
                </c:pt>
                <c:pt idx="1">
                  <c:v>2021</c:v>
                </c:pt>
                <c:pt idx="2">
                  <c:v>2022</c:v>
                </c:pt>
                <c:pt idx="3">
                  <c:v>2023</c:v>
                </c:pt>
                <c:pt idx="4">
                  <c:v>2024</c:v>
                </c:pt>
                <c:pt idx="5">
                  <c:v>2025</c:v>
                </c:pt>
              </c:strCache>
            </c:strRef>
          </c:cat>
          <c:val>
            <c:numRef>
              <c:f>analysis!$C$3:$C$9</c:f>
              <c:numCache>
                <c:formatCode>General</c:formatCode>
                <c:ptCount val="6"/>
                <c:pt idx="0">
                  <c:v>23</c:v>
                </c:pt>
                <c:pt idx="1">
                  <c:v>12</c:v>
                </c:pt>
                <c:pt idx="2">
                  <c:v>19</c:v>
                </c:pt>
                <c:pt idx="3">
                  <c:v>30</c:v>
                </c:pt>
                <c:pt idx="4">
                  <c:v>25</c:v>
                </c:pt>
                <c:pt idx="5">
                  <c:v>9</c:v>
                </c:pt>
              </c:numCache>
            </c:numRef>
          </c:val>
          <c:extLst>
            <c:ext xmlns:c16="http://schemas.microsoft.com/office/drawing/2014/chart" uri="{C3380CC4-5D6E-409C-BE32-E72D297353CC}">
              <c16:uniqueId val="{00000001-CB3B-496D-A857-E97D026E2A2B}"/>
            </c:ext>
          </c:extLst>
        </c:ser>
        <c:ser>
          <c:idx val="2"/>
          <c:order val="2"/>
          <c:tx>
            <c:strRef>
              <c:f>analysis!$D$1:$D$2</c:f>
              <c:strCache>
                <c:ptCount val="1"/>
                <c:pt idx="0">
                  <c:v>Transfer</c:v>
                </c:pt>
              </c:strCache>
            </c:strRef>
          </c:tx>
          <c:spPr>
            <a:solidFill>
              <a:srgbClr val="FF00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2020</c:v>
                </c:pt>
                <c:pt idx="1">
                  <c:v>2021</c:v>
                </c:pt>
                <c:pt idx="2">
                  <c:v>2022</c:v>
                </c:pt>
                <c:pt idx="3">
                  <c:v>2023</c:v>
                </c:pt>
                <c:pt idx="4">
                  <c:v>2024</c:v>
                </c:pt>
                <c:pt idx="5">
                  <c:v>2025</c:v>
                </c:pt>
              </c:strCache>
            </c:strRef>
          </c:cat>
          <c:val>
            <c:numRef>
              <c:f>analysis!$D$3:$D$9</c:f>
              <c:numCache>
                <c:formatCode>General</c:formatCode>
                <c:ptCount val="6"/>
                <c:pt idx="1">
                  <c:v>1</c:v>
                </c:pt>
                <c:pt idx="2">
                  <c:v>4</c:v>
                </c:pt>
                <c:pt idx="3">
                  <c:v>1</c:v>
                </c:pt>
              </c:numCache>
            </c:numRef>
          </c:val>
          <c:extLst>
            <c:ext xmlns:c16="http://schemas.microsoft.com/office/drawing/2014/chart" uri="{C3380CC4-5D6E-409C-BE32-E72D297353CC}">
              <c16:uniqueId val="{00000000-283F-4A06-BDC8-7E85C1420037}"/>
            </c:ext>
          </c:extLst>
        </c:ser>
        <c:dLbls>
          <c:dLblPos val="ctr"/>
          <c:showLegendKey val="0"/>
          <c:showVal val="1"/>
          <c:showCatName val="0"/>
          <c:showSerName val="0"/>
          <c:showPercent val="0"/>
          <c:showBubbleSize val="0"/>
        </c:dLbls>
        <c:gapWidth val="150"/>
        <c:overlap val="100"/>
        <c:axId val="2068589327"/>
        <c:axId val="2068566767"/>
      </c:barChart>
      <c:catAx>
        <c:axId val="206858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66767"/>
        <c:crosses val="autoZero"/>
        <c:auto val="1"/>
        <c:lblAlgn val="ctr"/>
        <c:lblOffset val="100"/>
        <c:noMultiLvlLbl val="0"/>
      </c:catAx>
      <c:valAx>
        <c:axId val="206856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89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analysis!$B$27</c:f>
              <c:strCache>
                <c:ptCount val="1"/>
                <c:pt idx="0">
                  <c:v>Attrition</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analysis!$B$28:$B$33</c:f>
              <c:numCache>
                <c:formatCode>General</c:formatCode>
                <c:ptCount val="6"/>
                <c:pt idx="0">
                  <c:v>20</c:v>
                </c:pt>
                <c:pt idx="1">
                  <c:v>12</c:v>
                </c:pt>
                <c:pt idx="2">
                  <c:v>10</c:v>
                </c:pt>
                <c:pt idx="3">
                  <c:v>4</c:v>
                </c:pt>
                <c:pt idx="4">
                  <c:v>0</c:v>
                </c:pt>
                <c:pt idx="5">
                  <c:v>1</c:v>
                </c:pt>
              </c:numCache>
            </c:numRef>
          </c:val>
          <c:extLst>
            <c:ext xmlns:c16="http://schemas.microsoft.com/office/drawing/2014/chart" uri="{C3380CC4-5D6E-409C-BE32-E72D297353CC}">
              <c16:uniqueId val="{00000001-BC8F-46C8-9597-513FC377D71E}"/>
            </c:ext>
          </c:extLst>
        </c:ser>
        <c:ser>
          <c:idx val="2"/>
          <c:order val="2"/>
          <c:tx>
            <c:strRef>
              <c:f>analysis!$C$27</c:f>
              <c:strCache>
                <c:ptCount val="1"/>
                <c:pt idx="0">
                  <c:v>On-Board</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analysis!$C$28:$C$33</c:f>
              <c:numCache>
                <c:formatCode>General</c:formatCode>
                <c:ptCount val="6"/>
                <c:pt idx="0">
                  <c:v>23</c:v>
                </c:pt>
                <c:pt idx="1">
                  <c:v>12</c:v>
                </c:pt>
                <c:pt idx="2">
                  <c:v>19</c:v>
                </c:pt>
                <c:pt idx="3">
                  <c:v>30</c:v>
                </c:pt>
                <c:pt idx="4">
                  <c:v>25</c:v>
                </c:pt>
                <c:pt idx="5">
                  <c:v>9</c:v>
                </c:pt>
              </c:numCache>
            </c:numRef>
          </c:val>
          <c:extLst>
            <c:ext xmlns:c16="http://schemas.microsoft.com/office/drawing/2014/chart" uri="{C3380CC4-5D6E-409C-BE32-E72D297353CC}">
              <c16:uniqueId val="{00000002-BC8F-46C8-9597-513FC377D71E}"/>
            </c:ext>
          </c:extLst>
        </c:ser>
        <c:ser>
          <c:idx val="3"/>
          <c:order val="3"/>
          <c:tx>
            <c:strRef>
              <c:f>analysis!$D$27</c:f>
              <c:strCache>
                <c:ptCount val="1"/>
                <c:pt idx="0">
                  <c:v>Transfer</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analysis!$D$28:$D$33</c:f>
              <c:numCache>
                <c:formatCode>General</c:formatCode>
                <c:ptCount val="6"/>
                <c:pt idx="0">
                  <c:v>0</c:v>
                </c:pt>
                <c:pt idx="1">
                  <c:v>1</c:v>
                </c:pt>
                <c:pt idx="2">
                  <c:v>4</c:v>
                </c:pt>
                <c:pt idx="3">
                  <c:v>1</c:v>
                </c:pt>
                <c:pt idx="4">
                  <c:v>0</c:v>
                </c:pt>
                <c:pt idx="5">
                  <c:v>0</c:v>
                </c:pt>
              </c:numCache>
            </c:numRef>
          </c:val>
          <c:extLst>
            <c:ext xmlns:c16="http://schemas.microsoft.com/office/drawing/2014/chart" uri="{C3380CC4-5D6E-409C-BE32-E72D297353CC}">
              <c16:uniqueId val="{00000003-BC8F-46C8-9597-513FC377D71E}"/>
            </c:ext>
          </c:extLst>
        </c:ser>
        <c:dLbls>
          <c:showLegendKey val="0"/>
          <c:showVal val="1"/>
          <c:showCatName val="0"/>
          <c:showSerName val="0"/>
          <c:showPercent val="0"/>
          <c:showBubbleSize val="0"/>
        </c:dLbls>
        <c:gapWidth val="150"/>
        <c:overlap val="100"/>
        <c:axId val="2068599407"/>
        <c:axId val="2068616687"/>
        <c:extLst>
          <c:ext xmlns:c15="http://schemas.microsoft.com/office/drawing/2012/chart" uri="{02D57815-91ED-43cb-92C2-25804820EDAC}">
            <c15:filteredBarSeries>
              <c15:ser>
                <c:idx val="0"/>
                <c:order val="0"/>
                <c:tx>
                  <c:strRef>
                    <c:extLst>
                      <c:ext uri="{02D57815-91ED-43cb-92C2-25804820EDAC}">
                        <c15:formulaRef>
                          <c15:sqref>analysis!$A$27</c15:sqref>
                        </c15:formulaRef>
                      </c:ext>
                    </c:extLst>
                    <c:strCache>
                      <c:ptCount val="1"/>
                      <c:pt idx="0">
                        <c:v>years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analysis!$A$28:$A$33</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analysis!$A$28:$A$33</c15:sqref>
                        </c15:formulaRef>
                      </c:ext>
                    </c:extLst>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0-BC8F-46C8-9597-513FC377D71E}"/>
                  </c:ext>
                </c:extLst>
              </c15:ser>
            </c15:filteredBarSeries>
          </c:ext>
        </c:extLst>
      </c:barChart>
      <c:lineChart>
        <c:grouping val="standard"/>
        <c:varyColors val="0"/>
        <c:ser>
          <c:idx val="4"/>
          <c:order val="4"/>
          <c:tx>
            <c:strRef>
              <c:f>analysis!$E$27</c:f>
              <c:strCache>
                <c:ptCount val="1"/>
                <c:pt idx="0">
                  <c:v>HC Growth</c:v>
                </c:pt>
              </c:strCache>
            </c:strRef>
          </c:tx>
          <c:spPr>
            <a:ln w="28575" cap="rnd">
              <a:solidFill>
                <a:schemeClr val="accent5"/>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analysis!$E$28:$E$33</c:f>
              <c:numCache>
                <c:formatCode>General</c:formatCode>
                <c:ptCount val="6"/>
                <c:pt idx="0">
                  <c:v>23</c:v>
                </c:pt>
                <c:pt idx="1">
                  <c:v>35</c:v>
                </c:pt>
                <c:pt idx="2">
                  <c:v>54</c:v>
                </c:pt>
                <c:pt idx="3">
                  <c:v>84</c:v>
                </c:pt>
                <c:pt idx="4">
                  <c:v>109</c:v>
                </c:pt>
                <c:pt idx="5">
                  <c:v>118</c:v>
                </c:pt>
              </c:numCache>
            </c:numRef>
          </c:val>
          <c:smooth val="0"/>
          <c:extLst>
            <c:ext xmlns:c16="http://schemas.microsoft.com/office/drawing/2014/chart" uri="{C3380CC4-5D6E-409C-BE32-E72D297353CC}">
              <c16:uniqueId val="{00000004-BC8F-46C8-9597-513FC377D71E}"/>
            </c:ext>
          </c:extLst>
        </c:ser>
        <c:dLbls>
          <c:showLegendKey val="0"/>
          <c:showVal val="1"/>
          <c:showCatName val="0"/>
          <c:showSerName val="0"/>
          <c:showPercent val="0"/>
          <c:showBubbleSize val="0"/>
        </c:dLbls>
        <c:marker val="1"/>
        <c:smooth val="0"/>
        <c:axId val="2068602767"/>
        <c:axId val="2068621007"/>
      </c:lineChart>
      <c:catAx>
        <c:axId val="20685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16687"/>
        <c:crosses val="autoZero"/>
        <c:auto val="1"/>
        <c:lblAlgn val="ctr"/>
        <c:lblOffset val="100"/>
        <c:noMultiLvlLbl val="0"/>
      </c:catAx>
      <c:valAx>
        <c:axId val="206861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99407"/>
        <c:crosses val="autoZero"/>
        <c:crossBetween val="between"/>
      </c:valAx>
      <c:valAx>
        <c:axId val="20686210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02767"/>
        <c:crosses val="max"/>
        <c:crossBetween val="between"/>
      </c:valAx>
      <c:catAx>
        <c:axId val="2068602767"/>
        <c:scaling>
          <c:orientation val="minMax"/>
        </c:scaling>
        <c:delete val="1"/>
        <c:axPos val="b"/>
        <c:majorTickMark val="out"/>
        <c:minorTickMark val="none"/>
        <c:tickLblPos val="nextTo"/>
        <c:crossAx val="206862100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analysis!$H$3</c:f>
              <c:strCache>
                <c:ptCount val="1"/>
                <c:pt idx="0">
                  <c:v>Total</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2-444B-43D5-B5C8-EE1D045D38F7}"/>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444B-43D5-B5C8-EE1D045D38F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analysis!$G$4:$G$6</c:f>
              <c:strCache>
                <c:ptCount val="2"/>
                <c:pt idx="0">
                  <c:v>Female</c:v>
                </c:pt>
                <c:pt idx="1">
                  <c:v>Male</c:v>
                </c:pt>
              </c:strCache>
            </c:strRef>
          </c:cat>
          <c:val>
            <c:numRef>
              <c:f>analysis!$H$4:$H$6</c:f>
              <c:numCache>
                <c:formatCode>General</c:formatCode>
                <c:ptCount val="2"/>
                <c:pt idx="0">
                  <c:v>45</c:v>
                </c:pt>
                <c:pt idx="1">
                  <c:v>73</c:v>
                </c:pt>
              </c:numCache>
            </c:numRef>
          </c:val>
          <c:extLst>
            <c:ext xmlns:c16="http://schemas.microsoft.com/office/drawing/2014/chart" uri="{C3380CC4-5D6E-409C-BE32-E72D297353CC}">
              <c16:uniqueId val="{00000000-444B-43D5-B5C8-EE1D045D38F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1"/>
          <c:h val="0.98696011956838725"/>
        </c:manualLayout>
      </c:layout>
      <c:bar3DChart>
        <c:barDir val="col"/>
        <c:grouping val="stacked"/>
        <c:varyColors val="0"/>
        <c:ser>
          <c:idx val="0"/>
          <c:order val="0"/>
          <c:tx>
            <c:strRef>
              <c:f>analysis!$K$28</c:f>
              <c:strCache>
                <c:ptCount val="1"/>
                <c:pt idx="0">
                  <c:v>Contract</c:v>
                </c:pt>
              </c:strCache>
            </c:strRef>
          </c:tx>
          <c:spPr>
            <a:solidFill>
              <a:schemeClr val="accent1"/>
            </a:solidFill>
            <a:ln>
              <a:noFill/>
            </a:ln>
            <a:effectLst/>
            <a:sp3d/>
          </c:spPr>
          <c:invertIfNegative val="0"/>
          <c:dLbls>
            <c:dLbl>
              <c:idx val="0"/>
              <c:layout>
                <c:manualLayout>
                  <c:x val="-0.26666666666666666"/>
                  <c:y val="-5.092592592592601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39A0-4C9D-AA85-B2066EA726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analysis!$L$28:$M$28</c15:sqref>
                  </c15:fullRef>
                </c:ext>
              </c:extLst>
              <c:f>analysis!$M$28</c:f>
              <c:numCache>
                <c:formatCode>0%</c:formatCode>
                <c:ptCount val="1"/>
                <c:pt idx="0">
                  <c:v>0.11016949152542373</c:v>
                </c:pt>
              </c:numCache>
            </c:numRef>
          </c:val>
          <c:extLst>
            <c:ext xmlns:c16="http://schemas.microsoft.com/office/drawing/2014/chart" uri="{C3380CC4-5D6E-409C-BE32-E72D297353CC}">
              <c16:uniqueId val="{00000000-39A0-4C9D-AA85-B2066EA72691}"/>
            </c:ext>
          </c:extLst>
        </c:ser>
        <c:ser>
          <c:idx val="1"/>
          <c:order val="1"/>
          <c:tx>
            <c:strRef>
              <c:f>analysis!$K$29</c:f>
              <c:strCache>
                <c:ptCount val="1"/>
                <c:pt idx="0">
                  <c:v>Management</c:v>
                </c:pt>
              </c:strCache>
            </c:strRef>
          </c:tx>
          <c:spPr>
            <a:solidFill>
              <a:schemeClr val="accent2"/>
            </a:solidFill>
            <a:ln>
              <a:noFill/>
            </a:ln>
            <a:effectLst/>
            <a:sp3d/>
          </c:spPr>
          <c:invertIfNegative val="0"/>
          <c:dLbls>
            <c:dLbl>
              <c:idx val="0"/>
              <c:layout>
                <c:manualLayout>
                  <c:x val="-0.27500000000000002"/>
                  <c:y val="-0.12037037037037036"/>
                </c:manualLayout>
              </c:layout>
              <c:showLegendKey val="0"/>
              <c:showVal val="1"/>
              <c:showCatName val="0"/>
              <c:showSerName val="1"/>
              <c:showPercent val="0"/>
              <c:showBubbleSize val="0"/>
              <c:extLst>
                <c:ext xmlns:c15="http://schemas.microsoft.com/office/drawing/2012/chart" uri="{CE6537A1-D6FC-4f65-9D91-7224C49458BB}">
                  <c15:layout>
                    <c:manualLayout>
                      <c:w val="0.22528718285214347"/>
                      <c:h val="0.11673082531350248"/>
                    </c:manualLayout>
                  </c15:layout>
                </c:ext>
                <c:ext xmlns:c16="http://schemas.microsoft.com/office/drawing/2014/chart" uri="{C3380CC4-5D6E-409C-BE32-E72D297353CC}">
                  <c16:uniqueId val="{00000006-39A0-4C9D-AA85-B2066EA726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analysis!$L$29:$M$29</c15:sqref>
                  </c15:fullRef>
                </c:ext>
              </c:extLst>
              <c:f>analysis!$M$29</c:f>
              <c:numCache>
                <c:formatCode>0%</c:formatCode>
                <c:ptCount val="1"/>
                <c:pt idx="0">
                  <c:v>0.17796610169491525</c:v>
                </c:pt>
              </c:numCache>
            </c:numRef>
          </c:val>
          <c:extLst>
            <c:ext xmlns:c16="http://schemas.microsoft.com/office/drawing/2014/chart" uri="{C3380CC4-5D6E-409C-BE32-E72D297353CC}">
              <c16:uniqueId val="{00000001-39A0-4C9D-AA85-B2066EA72691}"/>
            </c:ext>
          </c:extLst>
        </c:ser>
        <c:ser>
          <c:idx val="2"/>
          <c:order val="2"/>
          <c:tx>
            <c:strRef>
              <c:f>analysis!$K$30</c:f>
              <c:strCache>
                <c:ptCount val="1"/>
                <c:pt idx="0">
                  <c:v>Professional</c:v>
                </c:pt>
              </c:strCache>
            </c:strRef>
          </c:tx>
          <c:spPr>
            <a:solidFill>
              <a:schemeClr val="accent3"/>
            </a:solidFill>
            <a:ln>
              <a:noFill/>
            </a:ln>
            <a:effectLst/>
            <a:sp3d/>
          </c:spPr>
          <c:invertIfNegative val="0"/>
          <c:dLbls>
            <c:dLbl>
              <c:idx val="0"/>
              <c:layout>
                <c:manualLayout>
                  <c:x val="-0.2166666666666667"/>
                  <c:y val="-0.1296296296296296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39A0-4C9D-AA85-B2066EA726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analysis!$L$30:$M$30</c15:sqref>
                  </c15:fullRef>
                </c:ext>
              </c:extLst>
              <c:f>analysis!$M$30</c:f>
              <c:numCache>
                <c:formatCode>0%</c:formatCode>
                <c:ptCount val="1"/>
                <c:pt idx="0">
                  <c:v>0.36440677966101692</c:v>
                </c:pt>
              </c:numCache>
            </c:numRef>
          </c:val>
          <c:extLst>
            <c:ext xmlns:c16="http://schemas.microsoft.com/office/drawing/2014/chart" uri="{C3380CC4-5D6E-409C-BE32-E72D297353CC}">
              <c16:uniqueId val="{00000002-39A0-4C9D-AA85-B2066EA72691}"/>
            </c:ext>
          </c:extLst>
        </c:ser>
        <c:ser>
          <c:idx val="3"/>
          <c:order val="3"/>
          <c:tx>
            <c:strRef>
              <c:f>analysis!$K$31</c:f>
              <c:strCache>
                <c:ptCount val="1"/>
                <c:pt idx="0">
                  <c:v>Trainees</c:v>
                </c:pt>
              </c:strCache>
            </c:strRef>
          </c:tx>
          <c:spPr>
            <a:solidFill>
              <a:schemeClr val="accent4"/>
            </a:solidFill>
            <a:ln>
              <a:noFill/>
            </a:ln>
            <a:effectLst/>
            <a:sp3d/>
          </c:spPr>
          <c:invertIfNegative val="0"/>
          <c:dLbls>
            <c:dLbl>
              <c:idx val="0"/>
              <c:layout>
                <c:manualLayout>
                  <c:x val="-0.16944444444444445"/>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39A0-4C9D-AA85-B2066EA7269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analysis!$L$31:$M$31</c15:sqref>
                  </c15:fullRef>
                </c:ext>
              </c:extLst>
              <c:f>analysis!$M$31</c:f>
              <c:numCache>
                <c:formatCode>0%</c:formatCode>
                <c:ptCount val="1"/>
                <c:pt idx="0">
                  <c:v>0.34745762711864409</c:v>
                </c:pt>
              </c:numCache>
            </c:numRef>
          </c:val>
          <c:extLst>
            <c:ext xmlns:c16="http://schemas.microsoft.com/office/drawing/2014/chart" uri="{C3380CC4-5D6E-409C-BE32-E72D297353CC}">
              <c16:uniqueId val="{00000003-39A0-4C9D-AA85-B2066EA72691}"/>
            </c:ext>
          </c:extLst>
        </c:ser>
        <c:dLbls>
          <c:showLegendKey val="0"/>
          <c:showVal val="0"/>
          <c:showCatName val="0"/>
          <c:showSerName val="0"/>
          <c:showPercent val="0"/>
          <c:showBubbleSize val="0"/>
        </c:dLbls>
        <c:gapWidth val="150"/>
        <c:shape val="pyramid"/>
        <c:axId val="596269343"/>
        <c:axId val="596282783"/>
        <c:axId val="0"/>
      </c:bar3DChart>
      <c:catAx>
        <c:axId val="596269343"/>
        <c:scaling>
          <c:orientation val="minMax"/>
        </c:scaling>
        <c:delete val="1"/>
        <c:axPos val="b"/>
        <c:numFmt formatCode="General" sourceLinked="1"/>
        <c:majorTickMark val="none"/>
        <c:minorTickMark val="none"/>
        <c:tickLblPos val="nextTo"/>
        <c:crossAx val="596282783"/>
        <c:crosses val="autoZero"/>
        <c:auto val="1"/>
        <c:lblAlgn val="ctr"/>
        <c:lblOffset val="100"/>
        <c:noMultiLvlLbl val="0"/>
      </c:catAx>
      <c:valAx>
        <c:axId val="596282783"/>
        <c:scaling>
          <c:orientation val="minMax"/>
        </c:scaling>
        <c:delete val="1"/>
        <c:axPos val="l"/>
        <c:numFmt formatCode="General" sourceLinked="1"/>
        <c:majorTickMark val="none"/>
        <c:minorTickMark val="none"/>
        <c:tickLblPos val="nextTo"/>
        <c:crossAx val="596269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analysis!$P$3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0-4862-991B-6E37F91B57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0-4862-991B-6E37F91B57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B0-4862-991B-6E37F91B57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B0-4862-991B-6E37F91B57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B0-4862-991B-6E37F91B57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B0-4862-991B-6E37F91B57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0B0-4862-991B-6E37F91B5785}"/>
              </c:ext>
            </c:extLst>
          </c:dPt>
          <c:cat>
            <c:strRef>
              <c:f>analysis!$O$4:$O$11</c:f>
              <c:strCache>
                <c:ptCount val="7"/>
                <c:pt idx="0">
                  <c:v>Accounting</c:v>
                </c:pt>
                <c:pt idx="1">
                  <c:v>Finance</c:v>
                </c:pt>
                <c:pt idx="2">
                  <c:v>HR</c:v>
                </c:pt>
                <c:pt idx="3">
                  <c:v>Legal</c:v>
                </c:pt>
                <c:pt idx="4">
                  <c:v>Marketing</c:v>
                </c:pt>
                <c:pt idx="5">
                  <c:v>Operations</c:v>
                </c:pt>
                <c:pt idx="6">
                  <c:v>Sales</c:v>
                </c:pt>
              </c:strCache>
            </c:strRef>
          </c:cat>
          <c:val>
            <c:numRef>
              <c:f>analysis!$P$4:$P$11</c:f>
              <c:numCache>
                <c:formatCode>General</c:formatCode>
                <c:ptCount val="7"/>
                <c:pt idx="0">
                  <c:v>9</c:v>
                </c:pt>
                <c:pt idx="1">
                  <c:v>10</c:v>
                </c:pt>
                <c:pt idx="2">
                  <c:v>25</c:v>
                </c:pt>
                <c:pt idx="3">
                  <c:v>11</c:v>
                </c:pt>
                <c:pt idx="4">
                  <c:v>15</c:v>
                </c:pt>
                <c:pt idx="5">
                  <c:v>27</c:v>
                </c:pt>
                <c:pt idx="6">
                  <c:v>21</c:v>
                </c:pt>
              </c:numCache>
            </c:numRef>
          </c:val>
          <c:extLst>
            <c:ext xmlns:c16="http://schemas.microsoft.com/office/drawing/2014/chart" uri="{C3380CC4-5D6E-409C-BE32-E72D297353CC}">
              <c16:uniqueId val="{00000000-B1D9-4F15-BAAD-033DF26205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analysis!$G$16:$G$17</c:f>
              <c:strCache>
                <c:ptCount val="1"/>
                <c:pt idx="0">
                  <c:v>Contract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analysis!$F$18</c:f>
              <c:strCache>
                <c:ptCount val="1"/>
                <c:pt idx="0">
                  <c:v>Total</c:v>
                </c:pt>
              </c:strCache>
            </c:strRef>
          </c:cat>
          <c:val>
            <c:numRef>
              <c:f>analysis!$G$18</c:f>
              <c:numCache>
                <c:formatCode>0.00%</c:formatCode>
                <c:ptCount val="1"/>
                <c:pt idx="0">
                  <c:v>0.11016949152542373</c:v>
                </c:pt>
              </c:numCache>
            </c:numRef>
          </c:val>
          <c:extLst>
            <c:ext xmlns:c16="http://schemas.microsoft.com/office/drawing/2014/chart" uri="{C3380CC4-5D6E-409C-BE32-E72D297353CC}">
              <c16:uniqueId val="{00000000-E16D-4213-A33B-8047D190F37E}"/>
            </c:ext>
          </c:extLst>
        </c:ser>
        <c:ser>
          <c:idx val="1"/>
          <c:order val="1"/>
          <c:tx>
            <c:strRef>
              <c:f>analysis!$H$16:$H$17</c:f>
              <c:strCache>
                <c:ptCount val="1"/>
                <c:pt idx="0">
                  <c:v>Permanent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analysis!$F$18</c:f>
              <c:strCache>
                <c:ptCount val="1"/>
                <c:pt idx="0">
                  <c:v>Total</c:v>
                </c:pt>
              </c:strCache>
            </c:strRef>
          </c:cat>
          <c:val>
            <c:numRef>
              <c:f>analysis!$H$18</c:f>
              <c:numCache>
                <c:formatCode>0.00%</c:formatCode>
                <c:ptCount val="1"/>
                <c:pt idx="0">
                  <c:v>0.88983050847457623</c:v>
                </c:pt>
              </c:numCache>
            </c:numRef>
          </c:val>
          <c:extLst>
            <c:ext xmlns:c16="http://schemas.microsoft.com/office/drawing/2014/chart" uri="{C3380CC4-5D6E-409C-BE32-E72D297353CC}">
              <c16:uniqueId val="{00000005-E16D-4213-A33B-8047D190F37E}"/>
            </c:ext>
          </c:extLst>
        </c:ser>
        <c:dLbls>
          <c:dLblPos val="ctr"/>
          <c:showLegendKey val="0"/>
          <c:showVal val="1"/>
          <c:showCatName val="0"/>
          <c:showSerName val="0"/>
          <c:showPercent val="0"/>
          <c:showBubbleSize val="0"/>
        </c:dLbls>
        <c:gapWidth val="150"/>
        <c:overlap val="100"/>
        <c:axId val="686219919"/>
        <c:axId val="686221359"/>
      </c:barChart>
      <c:catAx>
        <c:axId val="68621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21359"/>
        <c:crosses val="autoZero"/>
        <c:auto val="1"/>
        <c:lblAlgn val="ctr"/>
        <c:lblOffset val="100"/>
        <c:noMultiLvlLbl val="0"/>
      </c:catAx>
      <c:valAx>
        <c:axId val="6862213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analysis!$J$17:$J$23</c:f>
              <c:strCache>
                <c:ptCount val="6"/>
                <c:pt idx="0">
                  <c:v>5+ years</c:v>
                </c:pt>
                <c:pt idx="1">
                  <c:v>4+ years</c:v>
                </c:pt>
                <c:pt idx="2">
                  <c:v>3+ years</c:v>
                </c:pt>
                <c:pt idx="3">
                  <c:v>2+ years</c:v>
                </c:pt>
                <c:pt idx="4">
                  <c:v>1+ years</c:v>
                </c:pt>
                <c:pt idx="5">
                  <c:v>&lt;1 years</c:v>
                </c:pt>
              </c:strCache>
            </c:strRef>
          </c:cat>
          <c:val>
            <c:numRef>
              <c:f>analysis!$K$17:$K$23</c:f>
              <c:numCache>
                <c:formatCode>General</c:formatCode>
                <c:ptCount val="6"/>
                <c:pt idx="0">
                  <c:v>24</c:v>
                </c:pt>
                <c:pt idx="1">
                  <c:v>11</c:v>
                </c:pt>
                <c:pt idx="2">
                  <c:v>19</c:v>
                </c:pt>
                <c:pt idx="3">
                  <c:v>33</c:v>
                </c:pt>
                <c:pt idx="4">
                  <c:v>27</c:v>
                </c:pt>
                <c:pt idx="5">
                  <c:v>4</c:v>
                </c:pt>
              </c:numCache>
            </c:numRef>
          </c:val>
          <c:extLst>
            <c:ext xmlns:c16="http://schemas.microsoft.com/office/drawing/2014/chart" uri="{C3380CC4-5D6E-409C-BE32-E72D297353CC}">
              <c16:uniqueId val="{00000000-D675-4FB5-88C7-8617CF07BBC5}"/>
            </c:ext>
          </c:extLst>
        </c:ser>
        <c:dLbls>
          <c:dLblPos val="outEnd"/>
          <c:showLegendKey val="0"/>
          <c:showVal val="1"/>
          <c:showCatName val="0"/>
          <c:showSerName val="0"/>
          <c:showPercent val="0"/>
          <c:showBubbleSize val="0"/>
        </c:dLbls>
        <c:gapWidth val="182"/>
        <c:axId val="1282018783"/>
        <c:axId val="1282013023"/>
      </c:barChart>
      <c:catAx>
        <c:axId val="128201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013023"/>
        <c:crosses val="autoZero"/>
        <c:auto val="1"/>
        <c:lblAlgn val="ctr"/>
        <c:lblOffset val="100"/>
        <c:noMultiLvlLbl val="0"/>
      </c:catAx>
      <c:valAx>
        <c:axId val="1282013023"/>
        <c:scaling>
          <c:orientation val="minMax"/>
        </c:scaling>
        <c:delete val="1"/>
        <c:axPos val="b"/>
        <c:numFmt formatCode="General" sourceLinked="1"/>
        <c:majorTickMark val="none"/>
        <c:minorTickMark val="none"/>
        <c:tickLblPos val="nextTo"/>
        <c:crossAx val="128201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analysis!$B$27</c:f>
              <c:strCache>
                <c:ptCount val="1"/>
                <c:pt idx="0">
                  <c:v>Attrition</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analysis!$B$28:$B$33</c:f>
              <c:numCache>
                <c:formatCode>General</c:formatCode>
                <c:ptCount val="6"/>
                <c:pt idx="0">
                  <c:v>20</c:v>
                </c:pt>
                <c:pt idx="1">
                  <c:v>12</c:v>
                </c:pt>
                <c:pt idx="2">
                  <c:v>10</c:v>
                </c:pt>
                <c:pt idx="3">
                  <c:v>4</c:v>
                </c:pt>
                <c:pt idx="4">
                  <c:v>0</c:v>
                </c:pt>
                <c:pt idx="5">
                  <c:v>1</c:v>
                </c:pt>
              </c:numCache>
            </c:numRef>
          </c:val>
          <c:extLst>
            <c:ext xmlns:c16="http://schemas.microsoft.com/office/drawing/2014/chart" uri="{C3380CC4-5D6E-409C-BE32-E72D297353CC}">
              <c16:uniqueId val="{00000000-9BB9-4693-B0DA-DE2112983A3E}"/>
            </c:ext>
          </c:extLst>
        </c:ser>
        <c:ser>
          <c:idx val="2"/>
          <c:order val="2"/>
          <c:tx>
            <c:strRef>
              <c:f>analysis!$C$27</c:f>
              <c:strCache>
                <c:ptCount val="1"/>
                <c:pt idx="0">
                  <c:v>On-Board</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analysis!$C$28:$C$33</c:f>
              <c:numCache>
                <c:formatCode>General</c:formatCode>
                <c:ptCount val="6"/>
                <c:pt idx="0">
                  <c:v>23</c:v>
                </c:pt>
                <c:pt idx="1">
                  <c:v>12</c:v>
                </c:pt>
                <c:pt idx="2">
                  <c:v>19</c:v>
                </c:pt>
                <c:pt idx="3">
                  <c:v>30</c:v>
                </c:pt>
                <c:pt idx="4">
                  <c:v>25</c:v>
                </c:pt>
                <c:pt idx="5">
                  <c:v>9</c:v>
                </c:pt>
              </c:numCache>
            </c:numRef>
          </c:val>
          <c:extLst>
            <c:ext xmlns:c16="http://schemas.microsoft.com/office/drawing/2014/chart" uri="{C3380CC4-5D6E-409C-BE32-E72D297353CC}">
              <c16:uniqueId val="{00000001-9BB9-4693-B0DA-DE2112983A3E}"/>
            </c:ext>
          </c:extLst>
        </c:ser>
        <c:ser>
          <c:idx val="3"/>
          <c:order val="3"/>
          <c:tx>
            <c:strRef>
              <c:f>analysis!$D$27</c:f>
              <c:strCache>
                <c:ptCount val="1"/>
                <c:pt idx="0">
                  <c:v>Transfer</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analysis!$A$28:$A$33</c:f>
              <c:numCache>
                <c:formatCode>General</c:formatCode>
                <c:ptCount val="6"/>
                <c:pt idx="0">
                  <c:v>2020</c:v>
                </c:pt>
                <c:pt idx="1">
                  <c:v>2021</c:v>
                </c:pt>
                <c:pt idx="2">
                  <c:v>2022</c:v>
                </c:pt>
                <c:pt idx="3">
                  <c:v>2023</c:v>
                </c:pt>
                <c:pt idx="4">
                  <c:v>2024</c:v>
                </c:pt>
                <c:pt idx="5">
                  <c:v>2025</c:v>
                </c:pt>
              </c:numCache>
            </c:numRef>
          </c:cat>
          <c:val>
            <c:numRef>
              <c:f>analysis!$D$28:$D$33</c:f>
              <c:numCache>
                <c:formatCode>General</c:formatCode>
                <c:ptCount val="6"/>
                <c:pt idx="0">
                  <c:v>0</c:v>
                </c:pt>
                <c:pt idx="1">
                  <c:v>1</c:v>
                </c:pt>
                <c:pt idx="2">
                  <c:v>4</c:v>
                </c:pt>
                <c:pt idx="3">
                  <c:v>1</c:v>
                </c:pt>
                <c:pt idx="4">
                  <c:v>0</c:v>
                </c:pt>
                <c:pt idx="5">
                  <c:v>0</c:v>
                </c:pt>
              </c:numCache>
            </c:numRef>
          </c:val>
          <c:extLst>
            <c:ext xmlns:c16="http://schemas.microsoft.com/office/drawing/2014/chart" uri="{C3380CC4-5D6E-409C-BE32-E72D297353CC}">
              <c16:uniqueId val="{00000002-9BB9-4693-B0DA-DE2112983A3E}"/>
            </c:ext>
          </c:extLst>
        </c:ser>
        <c:dLbls>
          <c:showLegendKey val="0"/>
          <c:showVal val="1"/>
          <c:showCatName val="0"/>
          <c:showSerName val="0"/>
          <c:showPercent val="0"/>
          <c:showBubbleSize val="0"/>
        </c:dLbls>
        <c:gapWidth val="150"/>
        <c:overlap val="100"/>
        <c:axId val="2068599407"/>
        <c:axId val="2068616687"/>
        <c:extLst>
          <c:ext xmlns:c15="http://schemas.microsoft.com/office/drawing/2012/chart" uri="{02D57815-91ED-43cb-92C2-25804820EDAC}">
            <c15:filteredBarSeries>
              <c15:ser>
                <c:idx val="0"/>
                <c:order val="0"/>
                <c:tx>
                  <c:strRef>
                    <c:extLst>
                      <c:ext uri="{02D57815-91ED-43cb-92C2-25804820EDAC}">
                        <c15:formulaRef>
                          <c15:sqref>analysis!$A$27</c15:sqref>
                        </c15:formulaRef>
                      </c:ext>
                    </c:extLst>
                    <c:strCache>
                      <c:ptCount val="1"/>
                      <c:pt idx="0">
                        <c:v>years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analysis!$A$28:$A$33</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analysis!$A$28:$A$33</c15:sqref>
                        </c15:formulaRef>
                      </c:ext>
                    </c:extLst>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4-9BB9-4693-B0DA-DE2112983A3E}"/>
                  </c:ext>
                </c:extLst>
              </c15:ser>
            </c15:filteredBarSeries>
          </c:ext>
        </c:extLst>
      </c:barChart>
      <c:lineChart>
        <c:grouping val="standard"/>
        <c:varyColors val="0"/>
        <c:ser>
          <c:idx val="4"/>
          <c:order val="4"/>
          <c:tx>
            <c:strRef>
              <c:f>analysis!$E$27</c:f>
              <c:strCache>
                <c:ptCount val="1"/>
                <c:pt idx="0">
                  <c:v>HC Growth</c:v>
                </c:pt>
              </c:strCache>
            </c:strRef>
          </c:tx>
          <c:spPr>
            <a:ln w="28575" cap="rnd">
              <a:solidFill>
                <a:schemeClr val="accent5"/>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analysis!$E$28:$E$33</c:f>
              <c:numCache>
                <c:formatCode>General</c:formatCode>
                <c:ptCount val="6"/>
                <c:pt idx="0">
                  <c:v>23</c:v>
                </c:pt>
                <c:pt idx="1">
                  <c:v>35</c:v>
                </c:pt>
                <c:pt idx="2">
                  <c:v>54</c:v>
                </c:pt>
                <c:pt idx="3">
                  <c:v>84</c:v>
                </c:pt>
                <c:pt idx="4">
                  <c:v>109</c:v>
                </c:pt>
                <c:pt idx="5">
                  <c:v>118</c:v>
                </c:pt>
              </c:numCache>
            </c:numRef>
          </c:val>
          <c:smooth val="0"/>
          <c:extLst>
            <c:ext xmlns:c16="http://schemas.microsoft.com/office/drawing/2014/chart" uri="{C3380CC4-5D6E-409C-BE32-E72D297353CC}">
              <c16:uniqueId val="{00000003-9BB9-4693-B0DA-DE2112983A3E}"/>
            </c:ext>
          </c:extLst>
        </c:ser>
        <c:dLbls>
          <c:showLegendKey val="0"/>
          <c:showVal val="1"/>
          <c:showCatName val="0"/>
          <c:showSerName val="0"/>
          <c:showPercent val="0"/>
          <c:showBubbleSize val="0"/>
        </c:dLbls>
        <c:marker val="1"/>
        <c:smooth val="0"/>
        <c:axId val="2068602767"/>
        <c:axId val="2068621007"/>
      </c:lineChart>
      <c:catAx>
        <c:axId val="206859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16687"/>
        <c:crosses val="autoZero"/>
        <c:auto val="1"/>
        <c:lblAlgn val="ctr"/>
        <c:lblOffset val="100"/>
        <c:noMultiLvlLbl val="0"/>
      </c:catAx>
      <c:valAx>
        <c:axId val="206861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99407"/>
        <c:crosses val="autoZero"/>
        <c:crossBetween val="between"/>
      </c:valAx>
      <c:valAx>
        <c:axId val="20686210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602767"/>
        <c:crosses val="max"/>
        <c:crossBetween val="between"/>
      </c:valAx>
      <c:catAx>
        <c:axId val="2068602767"/>
        <c:scaling>
          <c:orientation val="minMax"/>
        </c:scaling>
        <c:delete val="1"/>
        <c:axPos val="b"/>
        <c:majorTickMark val="out"/>
        <c:minorTickMark val="none"/>
        <c:tickLblPos val="nextTo"/>
        <c:crossAx val="20686210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lumMod val="20000"/>
              <a:lumOff val="8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lumMod val="20000"/>
              <a:lumOff val="80000"/>
            </a:schemeClr>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lumMod val="20000"/>
              <a:lumOff val="80000"/>
            </a:schemeClr>
          </a:solidFill>
          <a:ln w="19050">
            <a:noFill/>
          </a:ln>
          <a:effectLst/>
        </c:spPr>
      </c:pivotFmt>
      <c:pivotFmt>
        <c:idx val="8"/>
        <c:spPr>
          <a:solidFill>
            <a:schemeClr val="accent1">
              <a:lumMod val="60000"/>
              <a:lumOff val="40000"/>
            </a:schemeClr>
          </a:solidFill>
          <a:ln w="19050">
            <a:noFill/>
          </a:ln>
          <a:effectLst/>
        </c:spPr>
      </c:pivotFmt>
    </c:pivotFmts>
    <c:plotArea>
      <c:layout>
        <c:manualLayout>
          <c:layoutTarget val="inner"/>
          <c:xMode val="edge"/>
          <c:yMode val="edge"/>
          <c:x val="5.3859321897157759E-2"/>
          <c:y val="6.7129629629629636E-2"/>
          <c:w val="0.64122120274857175"/>
          <c:h val="0.875"/>
        </c:manualLayout>
      </c:layout>
      <c:doughnutChart>
        <c:varyColors val="1"/>
        <c:ser>
          <c:idx val="0"/>
          <c:order val="0"/>
          <c:tx>
            <c:strRef>
              <c:f>analysis!$H$3</c:f>
              <c:strCache>
                <c:ptCount val="1"/>
                <c:pt idx="0">
                  <c:v>Total</c:v>
                </c:pt>
              </c:strCache>
            </c:strRef>
          </c:tx>
          <c:spPr>
            <a:ln>
              <a:noFill/>
            </a:ln>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3E5F-4475-AB5B-613A2B79DD31}"/>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3E5F-4475-AB5B-613A2B79DD3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analysis!$G$4:$G$6</c:f>
              <c:strCache>
                <c:ptCount val="2"/>
                <c:pt idx="0">
                  <c:v>Female</c:v>
                </c:pt>
                <c:pt idx="1">
                  <c:v>Male</c:v>
                </c:pt>
              </c:strCache>
            </c:strRef>
          </c:cat>
          <c:val>
            <c:numRef>
              <c:f>analysis!$H$4:$H$6</c:f>
              <c:numCache>
                <c:formatCode>General</c:formatCode>
                <c:ptCount val="2"/>
                <c:pt idx="0">
                  <c:v>45</c:v>
                </c:pt>
                <c:pt idx="1">
                  <c:v>73</c:v>
                </c:pt>
              </c:numCache>
            </c:numRef>
          </c:val>
          <c:extLst>
            <c:ext xmlns:c16="http://schemas.microsoft.com/office/drawing/2014/chart" uri="{C3380CC4-5D6E-409C-BE32-E72D297353CC}">
              <c16:uniqueId val="{00000004-3E5F-4475-AB5B-613A2B79DD3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1"/>
          <c:h val="0.98696011956838725"/>
        </c:manualLayout>
      </c:layout>
      <c:bar3DChart>
        <c:barDir val="col"/>
        <c:grouping val="stacked"/>
        <c:varyColors val="0"/>
        <c:ser>
          <c:idx val="4"/>
          <c:order val="0"/>
          <c:tx>
            <c:strRef>
              <c:f>analysis!$K$28</c:f>
              <c:strCache>
                <c:ptCount val="1"/>
                <c:pt idx="0">
                  <c:v>Contract</c:v>
                </c:pt>
              </c:strCache>
            </c:strRef>
          </c:tx>
          <c:invertIfNegative val="0"/>
          <c:dLbls>
            <c:dLbl>
              <c:idx val="0"/>
              <c:layout>
                <c:manualLayout>
                  <c:x val="-0.22926093514328807"/>
                  <c:y val="-0.04"/>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9F2-4ED0-9F96-74CB328122BF}"/>
                </c:ext>
              </c:extLst>
            </c:dLbl>
            <c:spPr>
              <a:solidFill>
                <a:sysClr val="window" lastClr="FFFFFF"/>
              </a:solidFill>
              <a:ln>
                <a:solidFill>
                  <a:sysClr val="windowText" lastClr="000000">
                    <a:lumMod val="65000"/>
                    <a:lumOff val="35000"/>
                  </a:sysClr>
                </a:solidFill>
              </a:ln>
              <a:effectLst/>
            </c:sp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analysis!$L$28:$M$28</c15:sqref>
                  </c15:fullRef>
                </c:ext>
              </c:extLst>
              <c:f>analysis!$M$28</c:f>
              <c:numCache>
                <c:formatCode>0%</c:formatCode>
                <c:ptCount val="1"/>
                <c:pt idx="0">
                  <c:v>0.11016949152542373</c:v>
                </c:pt>
              </c:numCache>
            </c:numRef>
          </c:val>
          <c:extLst>
            <c:ext xmlns:c16="http://schemas.microsoft.com/office/drawing/2014/chart" uri="{C3380CC4-5D6E-409C-BE32-E72D297353CC}">
              <c16:uniqueId val="{00000014-6869-4C90-B80C-3B7AB0750D4F}"/>
            </c:ext>
          </c:extLst>
        </c:ser>
        <c:ser>
          <c:idx val="5"/>
          <c:order val="1"/>
          <c:tx>
            <c:strRef>
              <c:f>analysis!$K$29</c:f>
              <c:strCache>
                <c:ptCount val="1"/>
                <c:pt idx="0">
                  <c:v>Management</c:v>
                </c:pt>
              </c:strCache>
            </c:strRef>
          </c:tx>
          <c:invertIfNegative val="0"/>
          <c:dLbls>
            <c:dLbl>
              <c:idx val="0"/>
              <c:layout>
                <c:manualLayout>
                  <c:x val="-0.20110608345902467"/>
                  <c:y val="-0.05"/>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89F2-4ED0-9F96-74CB328122BF}"/>
                </c:ext>
              </c:extLst>
            </c:dLbl>
            <c:spPr>
              <a:solidFill>
                <a:sysClr val="window" lastClr="FFFFFF"/>
              </a:solidFill>
              <a:ln>
                <a:solidFill>
                  <a:sysClr val="windowText" lastClr="000000">
                    <a:lumMod val="65000"/>
                    <a:lumOff val="35000"/>
                  </a:sysClr>
                </a:solidFill>
              </a:ln>
              <a:effectLst/>
            </c:sp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analysis!$L$29:$M$29</c15:sqref>
                  </c15:fullRef>
                </c:ext>
              </c:extLst>
              <c:f>analysis!$M$29</c:f>
              <c:numCache>
                <c:formatCode>0%</c:formatCode>
                <c:ptCount val="1"/>
                <c:pt idx="0">
                  <c:v>0.17796610169491525</c:v>
                </c:pt>
              </c:numCache>
            </c:numRef>
          </c:val>
          <c:extLst>
            <c:ext xmlns:c16="http://schemas.microsoft.com/office/drawing/2014/chart" uri="{C3380CC4-5D6E-409C-BE32-E72D297353CC}">
              <c16:uniqueId val="{00000015-6869-4C90-B80C-3B7AB0750D4F}"/>
            </c:ext>
          </c:extLst>
        </c:ser>
        <c:ser>
          <c:idx val="6"/>
          <c:order val="2"/>
          <c:tx>
            <c:strRef>
              <c:f>analysis!$K$30</c:f>
              <c:strCache>
                <c:ptCount val="1"/>
                <c:pt idx="0">
                  <c:v>Professional</c:v>
                </c:pt>
              </c:strCache>
            </c:strRef>
          </c:tx>
          <c:invertIfNegative val="0"/>
          <c:dLbls>
            <c:dLbl>
              <c:idx val="0"/>
              <c:layout>
                <c:manualLayout>
                  <c:x val="-0.18702865761689294"/>
                  <c:y val="-3.000000000000006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89F2-4ED0-9F96-74CB328122BF}"/>
                </c:ext>
              </c:extLst>
            </c:dLbl>
            <c:spPr>
              <a:solidFill>
                <a:sysClr val="window" lastClr="FFFFFF"/>
              </a:solidFill>
              <a:ln>
                <a:solidFill>
                  <a:sysClr val="windowText" lastClr="000000">
                    <a:lumMod val="65000"/>
                    <a:lumOff val="35000"/>
                  </a:sysClr>
                </a:solidFill>
              </a:ln>
              <a:effectLst/>
            </c:sp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analysis!$L$30:$M$30</c15:sqref>
                  </c15:fullRef>
                </c:ext>
              </c:extLst>
              <c:f>analysis!$M$30</c:f>
              <c:numCache>
                <c:formatCode>0%</c:formatCode>
                <c:ptCount val="1"/>
                <c:pt idx="0">
                  <c:v>0.36440677966101692</c:v>
                </c:pt>
              </c:numCache>
            </c:numRef>
          </c:val>
          <c:extLst>
            <c:ext xmlns:c16="http://schemas.microsoft.com/office/drawing/2014/chart" uri="{C3380CC4-5D6E-409C-BE32-E72D297353CC}">
              <c16:uniqueId val="{00000016-6869-4C90-B80C-3B7AB0750D4F}"/>
            </c:ext>
          </c:extLst>
        </c:ser>
        <c:ser>
          <c:idx val="7"/>
          <c:order val="3"/>
          <c:tx>
            <c:strRef>
              <c:f>analysis!$K$31</c:f>
              <c:strCache>
                <c:ptCount val="1"/>
                <c:pt idx="0">
                  <c:v>Trainees</c:v>
                </c:pt>
              </c:strCache>
            </c:strRef>
          </c:tx>
          <c:invertIfNegative val="0"/>
          <c:dLbls>
            <c:dLbl>
              <c:idx val="0"/>
              <c:layout>
                <c:manualLayout>
                  <c:x val="-0.13675213675213679"/>
                  <c:y val="-3.3333333333333639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9F2-4ED0-9F96-74CB328122BF}"/>
                </c:ext>
              </c:extLst>
            </c:dLbl>
            <c:spPr>
              <a:solidFill>
                <a:sysClr val="window" lastClr="FFFFFF"/>
              </a:solidFill>
              <a:ln>
                <a:solidFill>
                  <a:sysClr val="windowText" lastClr="000000">
                    <a:lumMod val="65000"/>
                    <a:lumOff val="35000"/>
                  </a:sysClr>
                </a:solidFill>
              </a:ln>
              <a:effectLst/>
            </c:spPr>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analysis!$L$27:$M$27</c15:sqref>
                  </c15:fullRef>
                </c:ext>
              </c:extLst>
              <c:f>analysis!$M$27</c:f>
              <c:strCache>
                <c:ptCount val="1"/>
                <c:pt idx="0">
                  <c:v>HC %</c:v>
                </c:pt>
              </c:strCache>
            </c:strRef>
          </c:cat>
          <c:val>
            <c:numRef>
              <c:extLst>
                <c:ext xmlns:c15="http://schemas.microsoft.com/office/drawing/2012/chart" uri="{02D57815-91ED-43cb-92C2-25804820EDAC}">
                  <c15:fullRef>
                    <c15:sqref>analysis!$L$31:$M$31</c15:sqref>
                  </c15:fullRef>
                </c:ext>
              </c:extLst>
              <c:f>analysis!$M$31</c:f>
              <c:numCache>
                <c:formatCode>0%</c:formatCode>
                <c:ptCount val="1"/>
                <c:pt idx="0">
                  <c:v>0.34745762711864409</c:v>
                </c:pt>
              </c:numCache>
            </c:numRef>
          </c:val>
          <c:extLst>
            <c:ext xmlns:c16="http://schemas.microsoft.com/office/drawing/2014/chart" uri="{C3380CC4-5D6E-409C-BE32-E72D297353CC}">
              <c16:uniqueId val="{00000017-6869-4C90-B80C-3B7AB0750D4F}"/>
            </c:ext>
          </c:extLst>
        </c:ser>
        <c:dLbls>
          <c:showLegendKey val="0"/>
          <c:showVal val="0"/>
          <c:showCatName val="0"/>
          <c:showSerName val="0"/>
          <c:showPercent val="0"/>
          <c:showBubbleSize val="0"/>
        </c:dLbls>
        <c:gapWidth val="150"/>
        <c:shape val="pyramid"/>
        <c:axId val="596269343"/>
        <c:axId val="596282783"/>
        <c:axId val="0"/>
        <c:extLst>
          <c:ext xmlns:c15="http://schemas.microsoft.com/office/drawing/2012/chart" uri="{02D57815-91ED-43cb-92C2-25804820EDAC}">
            <c15:filteredBarSeries>
              <c15:ser>
                <c:idx val="0"/>
                <c:order val="4"/>
                <c:tx>
                  <c:strRef>
                    <c:extLst>
                      <c:ext uri="{02D57815-91ED-43cb-92C2-25804820EDAC}">
                        <c15:formulaRef>
                          <c15:sqref>analysis!$K$28</c15:sqref>
                        </c15:formulaRef>
                      </c:ext>
                    </c:extLst>
                    <c:strCache>
                      <c:ptCount val="1"/>
                      <c:pt idx="0">
                        <c:v>Contract</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c:ext uri="{CE6537A1-D6FC-4f65-9D91-7224C49458BB}">
                      <c15:spPr xmlns:c15="http://schemas.microsoft.com/office/drawing/2012/chart">
                        <a:prstGeom prst="wedgeRectCallout">
                          <a:avLst/>
                        </a:prstGeom>
                      </c15:spPr>
                      <c15:showLeaderLines val="0"/>
                    </c:ext>
                  </c:extLst>
                </c:dLbls>
                <c:cat>
                  <c:strRef>
                    <c:extLst>
                      <c:ext uri="{02D57815-91ED-43cb-92C2-25804820EDAC}">
                        <c15:fullRef>
                          <c15:sqref>analysis!$M$27</c15:sqref>
                        </c15:fullRef>
                        <c15:formulaRef>
                          <c15:sqref/>
                        </c15:formulaRef>
                      </c:ext>
                    </c:extLst>
                    <c:strCache>
                      <c:ptCount val="0"/>
                    </c:strCache>
                  </c:strRef>
                </c:cat>
                <c:val>
                  <c:numRef>
                    <c:extLst>
                      <c:ext uri="{02D57815-91ED-43cb-92C2-25804820EDAC}">
                        <c15:fullRef>
                          <c15:sqref>analysis!$M$28</c15:sqref>
                        </c15:fullRef>
                        <c15:formulaRef>
                          <c15:sqref/>
                        </c15:formulaRef>
                      </c:ext>
                    </c:extLst>
                    <c:numCache>
                      <c:formatCode>0%</c:formatCode>
                      <c:ptCount val="0"/>
                    </c:numCache>
                  </c:numRef>
                </c:val>
                <c:extLst>
                  <c:ext xmlns:c16="http://schemas.microsoft.com/office/drawing/2014/chart" uri="{C3380CC4-5D6E-409C-BE32-E72D297353CC}">
                    <c16:uniqueId val="{0000000A-6869-4C90-B80C-3B7AB0750D4F}"/>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analysis!$K$29</c15:sqref>
                        </c15:formulaRef>
                      </c:ext>
                    </c:extLst>
                    <c:strCache>
                      <c:ptCount val="1"/>
                      <c:pt idx="0">
                        <c:v>Management</c:v>
                      </c:pt>
                    </c:strCache>
                  </c:strRef>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analysis!$M$27</c15:sqref>
                        </c15:fullRef>
                        <c15:formulaRef>
                          <c15:sqref/>
                        </c15:formulaRef>
                      </c:ext>
                    </c:extLst>
                    <c:strCache>
                      <c:ptCount val="0"/>
                    </c:strCache>
                  </c:strRef>
                </c:cat>
                <c:val>
                  <c:numRef>
                    <c:extLst>
                      <c:ext xmlns:c15="http://schemas.microsoft.com/office/drawing/2012/chart" uri="{02D57815-91ED-43cb-92C2-25804820EDAC}">
                        <c15:fullRef>
                          <c15:sqref>analysis!$M$29</c15:sqref>
                        </c15:fullRef>
                        <c15:formulaRef>
                          <c15:sqref/>
                        </c15:formulaRef>
                      </c:ext>
                    </c:extLst>
                    <c:numCache>
                      <c:formatCode>0%</c:formatCode>
                      <c:ptCount val="0"/>
                    </c:numCache>
                  </c:numRef>
                </c:val>
                <c:extLst xmlns:c15="http://schemas.microsoft.com/office/drawing/2012/chart">
                  <c:ext xmlns:c15="http://schemas.microsoft.com/office/drawing/2012/chart" uri="{02D57815-91ED-43cb-92C2-25804820EDAC}">
                    <c15:categoryFilterExceptions>
                      <c15:categoryFilterException>
                        <c15:sqref>analysis!$M$29</c15:sqref>
                        <c15:dLbl>
                          <c:idx val="-1"/>
                          <c:showLegendKey val="0"/>
                          <c:showVal val="1"/>
                          <c:showCatName val="1"/>
                          <c:showSerName val="1"/>
                          <c:showPercent val="0"/>
                          <c:showBubbleSize val="0"/>
                          <c:extLst>
                            <c:ext uri="{CE6537A1-D6FC-4f65-9D91-7224C49458BB}">
                              <c15:layout>
                                <c:manualLayout>
                                  <c:w val="0.22528718285214347"/>
                                  <c:h val="0.11673082531350248"/>
                                </c:manualLayout>
                              </c15:layout>
                            </c:ext>
                            <c:ext xmlns:c16="http://schemas.microsoft.com/office/drawing/2014/chart" uri="{C3380CC4-5D6E-409C-BE32-E72D297353CC}">
                              <c16:uniqueId val="{00000000-21F3-4B78-91BD-05865E72E8CC}"/>
                            </c:ext>
                          </c:extLst>
                        </c15:dLbl>
                      </c15:categoryFilterException>
                    </c15:categoryFilterExceptions>
                  </c:ext>
                  <c:ext xmlns:c16="http://schemas.microsoft.com/office/drawing/2014/chart" uri="{C3380CC4-5D6E-409C-BE32-E72D297353CC}">
                    <c16:uniqueId val="{0000000D-6869-4C90-B80C-3B7AB0750D4F}"/>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analysis!$K$30</c15:sqref>
                        </c15:formulaRef>
                      </c:ext>
                    </c:extLst>
                    <c:strCache>
                      <c:ptCount val="1"/>
                      <c:pt idx="0">
                        <c:v>Professional</c:v>
                      </c:pt>
                    </c:strCache>
                  </c:strRef>
                </c:tx>
                <c:spPr>
                  <a:solidFill>
                    <a:schemeClr val="accent3"/>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analysis!$M$27</c15:sqref>
                        </c15:fullRef>
                        <c15:formulaRef>
                          <c15:sqref/>
                        </c15:formulaRef>
                      </c:ext>
                    </c:extLst>
                    <c:strCache>
                      <c:ptCount val="0"/>
                    </c:strCache>
                  </c:strRef>
                </c:cat>
                <c:val>
                  <c:numRef>
                    <c:extLst>
                      <c:ext xmlns:c15="http://schemas.microsoft.com/office/drawing/2012/chart" uri="{02D57815-91ED-43cb-92C2-25804820EDAC}">
                        <c15:fullRef>
                          <c15:sqref>analysis!$M$30</c15:sqref>
                        </c15:fullRef>
                        <c15:formulaRef>
                          <c15:sqref/>
                        </c15:formulaRef>
                      </c:ext>
                    </c:extLst>
                    <c:numCache>
                      <c:formatCode>0%</c:formatCode>
                      <c:ptCount val="0"/>
                    </c:numCache>
                  </c:numRef>
                </c:val>
                <c:extLst xmlns:c15="http://schemas.microsoft.com/office/drawing/2012/chart">
                  <c:ext xmlns:c16="http://schemas.microsoft.com/office/drawing/2014/chart" uri="{C3380CC4-5D6E-409C-BE32-E72D297353CC}">
                    <c16:uniqueId val="{00000010-6869-4C90-B80C-3B7AB0750D4F}"/>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analysis!$K$31</c15:sqref>
                        </c15:formulaRef>
                      </c:ext>
                    </c:extLst>
                    <c:strCache>
                      <c:ptCount val="1"/>
                      <c:pt idx="0">
                        <c:v>Trainees</c:v>
                      </c:pt>
                    </c:strCache>
                  </c:strRef>
                </c:tx>
                <c:spPr>
                  <a:solidFill>
                    <a:schemeClr val="accent4"/>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analysis!$M$27</c15:sqref>
                        </c15:fullRef>
                        <c15:formulaRef>
                          <c15:sqref/>
                        </c15:formulaRef>
                      </c:ext>
                    </c:extLst>
                    <c:strCache>
                      <c:ptCount val="0"/>
                    </c:strCache>
                  </c:strRef>
                </c:cat>
                <c:val>
                  <c:numRef>
                    <c:extLst>
                      <c:ext xmlns:c15="http://schemas.microsoft.com/office/drawing/2012/chart" uri="{02D57815-91ED-43cb-92C2-25804820EDAC}">
                        <c15:fullRef>
                          <c15:sqref>analysis!$M$31</c15:sqref>
                        </c15:fullRef>
                        <c15:formulaRef>
                          <c15:sqref/>
                        </c15:formulaRef>
                      </c:ext>
                    </c:extLst>
                    <c:numCache>
                      <c:formatCode>0%</c:formatCode>
                      <c:ptCount val="0"/>
                    </c:numCache>
                  </c:numRef>
                </c:val>
                <c:extLst xmlns:c15="http://schemas.microsoft.com/office/drawing/2012/chart">
                  <c:ext xmlns:c16="http://schemas.microsoft.com/office/drawing/2014/chart" uri="{C3380CC4-5D6E-409C-BE32-E72D297353CC}">
                    <c16:uniqueId val="{00000013-6869-4C90-B80C-3B7AB0750D4F}"/>
                  </c:ext>
                </c:extLst>
              </c15:ser>
            </c15:filteredBarSeries>
          </c:ext>
        </c:extLst>
      </c:bar3DChart>
      <c:catAx>
        <c:axId val="596269343"/>
        <c:scaling>
          <c:orientation val="minMax"/>
        </c:scaling>
        <c:delete val="1"/>
        <c:axPos val="b"/>
        <c:numFmt formatCode="General" sourceLinked="1"/>
        <c:majorTickMark val="none"/>
        <c:minorTickMark val="none"/>
        <c:tickLblPos val="nextTo"/>
        <c:crossAx val="596282783"/>
        <c:crosses val="autoZero"/>
        <c:auto val="1"/>
        <c:lblAlgn val="ctr"/>
        <c:lblOffset val="100"/>
        <c:noMultiLvlLbl val="0"/>
      </c:catAx>
      <c:valAx>
        <c:axId val="596282783"/>
        <c:scaling>
          <c:orientation val="minMax"/>
        </c:scaling>
        <c:delete val="1"/>
        <c:axPos val="l"/>
        <c:numFmt formatCode="General" sourceLinked="1"/>
        <c:majorTickMark val="none"/>
        <c:minorTickMark val="none"/>
        <c:tickLblPos val="nextTo"/>
        <c:crossAx val="596269343"/>
        <c:crosses val="autoZero"/>
        <c:crossBetween val="between"/>
      </c:valAx>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C000"/>
          </a:solidFill>
          <a:ln w="19050">
            <a:solidFill>
              <a:schemeClr val="lt1"/>
            </a:solidFill>
          </a:ln>
          <a:effectLst/>
        </c:spPr>
      </c:pivotFmt>
      <c:pivotFmt>
        <c:idx val="15"/>
        <c:spPr>
          <a:solidFill>
            <a:srgbClr val="7030A0"/>
          </a:solidFill>
          <a:ln w="19050">
            <a:solidFill>
              <a:schemeClr val="lt1"/>
            </a:solidFill>
          </a:ln>
          <a:effectLst/>
        </c:spPr>
      </c:pivotFmt>
      <c:pivotFmt>
        <c:idx val="16"/>
        <c:spPr>
          <a:solidFill>
            <a:srgbClr val="FF0000"/>
          </a:solidFill>
          <a:ln w="19050">
            <a:solidFill>
              <a:schemeClr val="lt1"/>
            </a:solidFill>
          </a:ln>
          <a:effectLst/>
        </c:spPr>
      </c:pivotFmt>
    </c:pivotFmts>
    <c:plotArea>
      <c:layout>
        <c:manualLayout>
          <c:layoutTarget val="inner"/>
          <c:xMode val="edge"/>
          <c:yMode val="edge"/>
          <c:x val="3.5463949359271267E-2"/>
          <c:y val="4.7351825488198648E-2"/>
          <c:w val="0.71610436930677779"/>
          <c:h val="0.91532101303612845"/>
        </c:manualLayout>
      </c:layout>
      <c:doughnutChart>
        <c:varyColors val="1"/>
        <c:ser>
          <c:idx val="0"/>
          <c:order val="0"/>
          <c:tx>
            <c:strRef>
              <c:f>analysis!$P$3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BE-4409-853A-E58704E05B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BE-4409-853A-E58704E05B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BE-4409-853A-E58704E05B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BE-4409-853A-E58704E05BAF}"/>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F2BE-4409-853A-E58704E05BAF}"/>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B-F2BE-4409-853A-E58704E05BAF}"/>
              </c:ext>
            </c:extLst>
          </c:dPt>
          <c:dPt>
            <c:idx val="6"/>
            <c:bubble3D val="0"/>
            <c:spPr>
              <a:solidFill>
                <a:srgbClr val="FF0000"/>
              </a:solidFill>
              <a:ln w="19050">
                <a:solidFill>
                  <a:schemeClr val="lt1"/>
                </a:solidFill>
              </a:ln>
              <a:effectLst/>
            </c:spPr>
            <c:extLst>
              <c:ext xmlns:c16="http://schemas.microsoft.com/office/drawing/2014/chart" uri="{C3380CC4-5D6E-409C-BE32-E72D297353CC}">
                <c16:uniqueId val="{0000000D-F2BE-4409-853A-E58704E05B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analysis!$O$4:$O$11</c:f>
              <c:strCache>
                <c:ptCount val="7"/>
                <c:pt idx="0">
                  <c:v>Accounting</c:v>
                </c:pt>
                <c:pt idx="1">
                  <c:v>Finance</c:v>
                </c:pt>
                <c:pt idx="2">
                  <c:v>HR</c:v>
                </c:pt>
                <c:pt idx="3">
                  <c:v>Legal</c:v>
                </c:pt>
                <c:pt idx="4">
                  <c:v>Marketing</c:v>
                </c:pt>
                <c:pt idx="5">
                  <c:v>Operations</c:v>
                </c:pt>
                <c:pt idx="6">
                  <c:v>Sales</c:v>
                </c:pt>
              </c:strCache>
            </c:strRef>
          </c:cat>
          <c:val>
            <c:numRef>
              <c:f>analysis!$P$4:$P$11</c:f>
              <c:numCache>
                <c:formatCode>General</c:formatCode>
                <c:ptCount val="7"/>
                <c:pt idx="0">
                  <c:v>9</c:v>
                </c:pt>
                <c:pt idx="1">
                  <c:v>10</c:v>
                </c:pt>
                <c:pt idx="2">
                  <c:v>25</c:v>
                </c:pt>
                <c:pt idx="3">
                  <c:v>11</c:v>
                </c:pt>
                <c:pt idx="4">
                  <c:v>15</c:v>
                </c:pt>
                <c:pt idx="5">
                  <c:v>27</c:v>
                </c:pt>
                <c:pt idx="6">
                  <c:v>21</c:v>
                </c:pt>
              </c:numCache>
            </c:numRef>
          </c:val>
          <c:extLst>
            <c:ext xmlns:c16="http://schemas.microsoft.com/office/drawing/2014/chart" uri="{C3380CC4-5D6E-409C-BE32-E72D297353CC}">
              <c16:uniqueId val="{0000000E-F2BE-4409-853A-E58704E05BA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669738863287251"/>
                  <c:h val="0.12195360195360196"/>
                </c:manualLayout>
              </c15:layout>
            </c:ext>
          </c:extLst>
        </c:dLbl>
      </c:pivotFmt>
      <c:pivotFmt>
        <c:idx val="7"/>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741935483870966"/>
                  <c:h val="0.12195360195360196"/>
                </c:manualLayout>
              </c15:layout>
            </c:ext>
          </c:extLst>
        </c:dLbl>
      </c:pivotFmt>
    </c:pivotFmts>
    <c:plotArea>
      <c:layout/>
      <c:barChart>
        <c:barDir val="col"/>
        <c:grouping val="stacked"/>
        <c:varyColors val="0"/>
        <c:ser>
          <c:idx val="0"/>
          <c:order val="0"/>
          <c:tx>
            <c:strRef>
              <c:f>analysis!$G$16:$G$17</c:f>
              <c:strCache>
                <c:ptCount val="1"/>
                <c:pt idx="0">
                  <c:v>Contract</c:v>
                </c:pt>
              </c:strCache>
            </c:strRef>
          </c:tx>
          <c:spPr>
            <a:solidFill>
              <a:schemeClr val="accent3">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94D1-44D1-A073-E3AB63FF7A4F}"/>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0669738863287251"/>
                      <c:h val="0.12195360195360196"/>
                    </c:manualLayout>
                  </c15:layout>
                </c:ext>
                <c:ext xmlns:c16="http://schemas.microsoft.com/office/drawing/2014/chart" uri="{C3380CC4-5D6E-409C-BE32-E72D297353CC}">
                  <c16:uniqueId val="{00000002-94D1-44D1-A073-E3AB63FF7A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analysis!$F$18</c:f>
              <c:strCache>
                <c:ptCount val="1"/>
                <c:pt idx="0">
                  <c:v>Total</c:v>
                </c:pt>
              </c:strCache>
            </c:strRef>
          </c:cat>
          <c:val>
            <c:numRef>
              <c:f>analysis!$G$18</c:f>
              <c:numCache>
                <c:formatCode>0.00%</c:formatCode>
                <c:ptCount val="1"/>
                <c:pt idx="0">
                  <c:v>0.11016949152542373</c:v>
                </c:pt>
              </c:numCache>
            </c:numRef>
          </c:val>
          <c:extLst>
            <c:ext xmlns:c16="http://schemas.microsoft.com/office/drawing/2014/chart" uri="{C3380CC4-5D6E-409C-BE32-E72D297353CC}">
              <c16:uniqueId val="{00000000-94D1-44D1-A073-E3AB63FF7A4F}"/>
            </c:ext>
          </c:extLst>
        </c:ser>
        <c:ser>
          <c:idx val="1"/>
          <c:order val="1"/>
          <c:tx>
            <c:strRef>
              <c:f>analysis!$H$16:$H$17</c:f>
              <c:strCache>
                <c:ptCount val="1"/>
                <c:pt idx="0">
                  <c:v>Permanent</c:v>
                </c:pt>
              </c:strCache>
            </c:strRef>
          </c:tx>
          <c:spPr>
            <a:solidFill>
              <a:schemeClr val="accent2">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36EB-4915-9767-EB96A4796461}"/>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741935483870966"/>
                      <c:h val="0.12195360195360196"/>
                    </c:manualLayout>
                  </c15:layout>
                </c:ext>
                <c:ext xmlns:c16="http://schemas.microsoft.com/office/drawing/2014/chart" uri="{C3380CC4-5D6E-409C-BE32-E72D297353CC}">
                  <c16:uniqueId val="{00000000-36EB-4915-9767-EB96A47964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analysis!$F$18</c:f>
              <c:strCache>
                <c:ptCount val="1"/>
                <c:pt idx="0">
                  <c:v>Total</c:v>
                </c:pt>
              </c:strCache>
            </c:strRef>
          </c:cat>
          <c:val>
            <c:numRef>
              <c:f>analysis!$H$18</c:f>
              <c:numCache>
                <c:formatCode>0.00%</c:formatCode>
                <c:ptCount val="1"/>
                <c:pt idx="0">
                  <c:v>0.88983050847457623</c:v>
                </c:pt>
              </c:numCache>
            </c:numRef>
          </c:val>
          <c:extLst>
            <c:ext xmlns:c16="http://schemas.microsoft.com/office/drawing/2014/chart" uri="{C3380CC4-5D6E-409C-BE32-E72D297353CC}">
              <c16:uniqueId val="{00000007-94D1-44D1-A073-E3AB63FF7A4F}"/>
            </c:ext>
          </c:extLst>
        </c:ser>
        <c:dLbls>
          <c:dLblPos val="ctr"/>
          <c:showLegendKey val="0"/>
          <c:showVal val="1"/>
          <c:showCatName val="0"/>
          <c:showSerName val="0"/>
          <c:showPercent val="0"/>
          <c:showBubbleSize val="0"/>
        </c:dLbls>
        <c:gapWidth val="150"/>
        <c:overlap val="100"/>
        <c:axId val="686219919"/>
        <c:axId val="686221359"/>
      </c:barChart>
      <c:catAx>
        <c:axId val="686219919"/>
        <c:scaling>
          <c:orientation val="minMax"/>
        </c:scaling>
        <c:delete val="1"/>
        <c:axPos val="b"/>
        <c:numFmt formatCode="General" sourceLinked="1"/>
        <c:majorTickMark val="out"/>
        <c:minorTickMark val="none"/>
        <c:tickLblPos val="nextTo"/>
        <c:crossAx val="686221359"/>
        <c:crosses val="autoZero"/>
        <c:auto val="1"/>
        <c:lblAlgn val="ctr"/>
        <c:lblOffset val="100"/>
        <c:noMultiLvlLbl val="0"/>
      </c:catAx>
      <c:valAx>
        <c:axId val="6862213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[Alpha HR.xlsx]analysis!PivotTable15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analysis!$K$16</c:f>
              <c:strCache>
                <c:ptCount val="1"/>
                <c:pt idx="0">
                  <c:v>Total</c:v>
                </c:pt>
              </c:strCache>
            </c:strRef>
          </c:tx>
          <c:spPr>
            <a:solidFill>
              <a:schemeClr val="accent1">
                <a:lumMod val="60000"/>
                <a:lumOff val="4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analysis!$J$17:$J$23</c:f>
              <c:strCache>
                <c:ptCount val="6"/>
                <c:pt idx="0">
                  <c:v>5+ years</c:v>
                </c:pt>
                <c:pt idx="1">
                  <c:v>4+ years</c:v>
                </c:pt>
                <c:pt idx="2">
                  <c:v>3+ years</c:v>
                </c:pt>
                <c:pt idx="3">
                  <c:v>2+ years</c:v>
                </c:pt>
                <c:pt idx="4">
                  <c:v>1+ years</c:v>
                </c:pt>
                <c:pt idx="5">
                  <c:v>&lt;1 years</c:v>
                </c:pt>
              </c:strCache>
            </c:strRef>
          </c:cat>
          <c:val>
            <c:numRef>
              <c:f>analysis!$K$17:$K$23</c:f>
              <c:numCache>
                <c:formatCode>General</c:formatCode>
                <c:ptCount val="6"/>
                <c:pt idx="0">
                  <c:v>24</c:v>
                </c:pt>
                <c:pt idx="1">
                  <c:v>11</c:v>
                </c:pt>
                <c:pt idx="2">
                  <c:v>19</c:v>
                </c:pt>
                <c:pt idx="3">
                  <c:v>33</c:v>
                </c:pt>
                <c:pt idx="4">
                  <c:v>27</c:v>
                </c:pt>
                <c:pt idx="5">
                  <c:v>4</c:v>
                </c:pt>
              </c:numCache>
            </c:numRef>
          </c:val>
          <c:extLst>
            <c:ext xmlns:c16="http://schemas.microsoft.com/office/drawing/2014/chart" uri="{C3380CC4-5D6E-409C-BE32-E72D297353CC}">
              <c16:uniqueId val="{00000000-409C-423C-B963-11CD410A5D7C}"/>
            </c:ext>
          </c:extLst>
        </c:ser>
        <c:dLbls>
          <c:dLblPos val="outEnd"/>
          <c:showLegendKey val="0"/>
          <c:showVal val="1"/>
          <c:showCatName val="0"/>
          <c:showSerName val="0"/>
          <c:showPercent val="0"/>
          <c:showBubbleSize val="0"/>
        </c:dLbls>
        <c:gapWidth val="42"/>
        <c:axId val="1282018783"/>
        <c:axId val="1282013023"/>
      </c:barChart>
      <c:catAx>
        <c:axId val="128201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013023"/>
        <c:crosses val="autoZero"/>
        <c:auto val="1"/>
        <c:lblAlgn val="ctr"/>
        <c:lblOffset val="100"/>
        <c:noMultiLvlLbl val="0"/>
      </c:catAx>
      <c:valAx>
        <c:axId val="1282013023"/>
        <c:scaling>
          <c:orientation val="minMax"/>
        </c:scaling>
        <c:delete val="1"/>
        <c:axPos val="b"/>
        <c:numFmt formatCode="General" sourceLinked="1"/>
        <c:majorTickMark val="none"/>
        <c:minorTickMark val="none"/>
        <c:tickLblPos val="nextTo"/>
        <c:crossAx val="128201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684F3B9-35F0-489F-AA6B-05D15912FCF4}">
          <cx:tx>
            <cx:txData>
              <cx:f>_xlchart.v2.1</cx:f>
              <cx:v>HC</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684F3B9-35F0-489F-AA6B-05D15912FCF4}">
          <cx:tx>
            <cx:txData>
              <cx:f>_xlchart.v2.4</cx:f>
              <cx:v>HC</cx:v>
            </cx:txData>
          </cx:tx>
          <cx:spPr>
            <a:solidFill>
              <a:schemeClr val="accent6">
                <a:lumMod val="60000"/>
                <a:lumOff val="40000"/>
              </a:schemeClr>
            </a:soli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png"/><Relationship Id="rId18" Type="http://schemas.openxmlformats.org/officeDocument/2006/relationships/chart" Target="../charts/chart11.xml"/><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chart" Target="../charts/chart10.xml"/><Relationship Id="rId25"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image" Target="../media/image14.svg"/><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image" Target="../media/image13.png"/><Relationship Id="rId23" Type="http://schemas.openxmlformats.org/officeDocument/2006/relationships/image" Target="../media/image17.png"/><Relationship Id="rId10" Type="http://schemas.openxmlformats.org/officeDocument/2006/relationships/image" Target="../media/image10.svg"/><Relationship Id="rId19" Type="http://schemas.microsoft.com/office/2014/relationships/chartEx" Target="../charts/chartEx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2.svg"/><Relationship Id="rId22" Type="http://schemas.openxmlformats.org/officeDocument/2006/relationships/image" Target="../media/image16.svg"/><Relationship Id="rId27"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14</xdr:col>
      <xdr:colOff>428625</xdr:colOff>
      <xdr:row>20</xdr:row>
      <xdr:rowOff>128587</xdr:rowOff>
    </xdr:from>
    <xdr:to>
      <xdr:col>22</xdr:col>
      <xdr:colOff>123825</xdr:colOff>
      <xdr:row>35</xdr:row>
      <xdr:rowOff>14287</xdr:rowOff>
    </xdr:to>
    <xdr:graphicFrame macro="">
      <xdr:nvGraphicFramePr>
        <xdr:cNvPr id="2" name="Chart 1">
          <a:extLst>
            <a:ext uri="{FF2B5EF4-FFF2-40B4-BE49-F238E27FC236}">
              <a16:creationId xmlns:a16="http://schemas.microsoft.com/office/drawing/2014/main" id="{B31D1DB9-F189-9218-BCA8-66762AA4C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33337</xdr:colOff>
      <xdr:row>16</xdr:row>
      <xdr:rowOff>80962</xdr:rowOff>
    </xdr:from>
    <xdr:to>
      <xdr:col>30</xdr:col>
      <xdr:colOff>338137</xdr:colOff>
      <xdr:row>30</xdr:row>
      <xdr:rowOff>157162</xdr:rowOff>
    </xdr:to>
    <xdr:graphicFrame macro="">
      <xdr:nvGraphicFramePr>
        <xdr:cNvPr id="3" name="Chart 2">
          <a:extLst>
            <a:ext uri="{FF2B5EF4-FFF2-40B4-BE49-F238E27FC236}">
              <a16:creationId xmlns:a16="http://schemas.microsoft.com/office/drawing/2014/main" id="{A73AFF6D-D3BC-15C2-0F99-FEDB40237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361950</xdr:colOff>
      <xdr:row>12</xdr:row>
      <xdr:rowOff>157162</xdr:rowOff>
    </xdr:from>
    <xdr:to>
      <xdr:col>27</xdr:col>
      <xdr:colOff>57150</xdr:colOff>
      <xdr:row>27</xdr:row>
      <xdr:rowOff>42862</xdr:rowOff>
    </xdr:to>
    <xdr:graphicFrame macro="">
      <xdr:nvGraphicFramePr>
        <xdr:cNvPr id="5" name="Chart 4">
          <a:extLst>
            <a:ext uri="{FF2B5EF4-FFF2-40B4-BE49-F238E27FC236}">
              <a16:creationId xmlns:a16="http://schemas.microsoft.com/office/drawing/2014/main" id="{D05B335F-C816-3E71-48BA-E48EE4204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95250</xdr:colOff>
      <xdr:row>33</xdr:row>
      <xdr:rowOff>147637</xdr:rowOff>
    </xdr:from>
    <xdr:to>
      <xdr:col>16</xdr:col>
      <xdr:colOff>400050</xdr:colOff>
      <xdr:row>48</xdr:row>
      <xdr:rowOff>33337</xdr:rowOff>
    </xdr:to>
    <xdr:graphicFrame macro="">
      <xdr:nvGraphicFramePr>
        <xdr:cNvPr id="10" name="Chart 9">
          <a:extLst>
            <a:ext uri="{FF2B5EF4-FFF2-40B4-BE49-F238E27FC236}">
              <a16:creationId xmlns:a16="http://schemas.microsoft.com/office/drawing/2014/main" id="{464DD545-36D3-9A89-C5CD-EC994CA83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409575</xdr:colOff>
      <xdr:row>31</xdr:row>
      <xdr:rowOff>109537</xdr:rowOff>
    </xdr:from>
    <xdr:to>
      <xdr:col>23</xdr:col>
      <xdr:colOff>104775</xdr:colOff>
      <xdr:row>45</xdr:row>
      <xdr:rowOff>185737</xdr:rowOff>
    </xdr:to>
    <xdr:graphicFrame macro="">
      <xdr:nvGraphicFramePr>
        <xdr:cNvPr id="4" name="Chart 3">
          <a:extLst>
            <a:ext uri="{FF2B5EF4-FFF2-40B4-BE49-F238E27FC236}">
              <a16:creationId xmlns:a16="http://schemas.microsoft.com/office/drawing/2014/main" id="{9B88AF3A-630A-0EF1-109C-95A88D9A3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304800</xdr:colOff>
      <xdr:row>30</xdr:row>
      <xdr:rowOff>138112</xdr:rowOff>
    </xdr:from>
    <xdr:to>
      <xdr:col>29</xdr:col>
      <xdr:colOff>0</xdr:colOff>
      <xdr:row>45</xdr:row>
      <xdr:rowOff>23812</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BABA13AF-CA67-C9EC-2C10-2FB6606A4C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649325" y="58531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266701</xdr:colOff>
      <xdr:row>29</xdr:row>
      <xdr:rowOff>185737</xdr:rowOff>
    </xdr:from>
    <xdr:to>
      <xdr:col>9</xdr:col>
      <xdr:colOff>209551</xdr:colOff>
      <xdr:row>44</xdr:row>
      <xdr:rowOff>71437</xdr:rowOff>
    </xdr:to>
    <xdr:graphicFrame macro="">
      <xdr:nvGraphicFramePr>
        <xdr:cNvPr id="7" name="Chart 6">
          <a:extLst>
            <a:ext uri="{FF2B5EF4-FFF2-40B4-BE49-F238E27FC236}">
              <a16:creationId xmlns:a16="http://schemas.microsoft.com/office/drawing/2014/main" id="{72167F96-E45A-D218-928F-6DF49087C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390525</xdr:colOff>
      <xdr:row>34</xdr:row>
      <xdr:rowOff>42862</xdr:rowOff>
    </xdr:from>
    <xdr:to>
      <xdr:col>7</xdr:col>
      <xdr:colOff>238125</xdr:colOff>
      <xdr:row>48</xdr:row>
      <xdr:rowOff>119062</xdr:rowOff>
    </xdr:to>
    <xdr:graphicFrame macro="">
      <xdr:nvGraphicFramePr>
        <xdr:cNvPr id="8" name="Chart 7">
          <a:extLst>
            <a:ext uri="{FF2B5EF4-FFF2-40B4-BE49-F238E27FC236}">
              <a16:creationId xmlns:a16="http://schemas.microsoft.com/office/drawing/2014/main" id="{BACC6B37-4801-2927-D780-7ECCDC479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104775</xdr:rowOff>
    </xdr:from>
    <xdr:to>
      <xdr:col>3</xdr:col>
      <xdr:colOff>361950</xdr:colOff>
      <xdr:row>6</xdr:row>
      <xdr:rowOff>19050</xdr:rowOff>
    </xdr:to>
    <xdr:sp macro="" textlink="">
      <xdr:nvSpPr>
        <xdr:cNvPr id="2" name="Rectangle 1">
          <a:extLst>
            <a:ext uri="{FF2B5EF4-FFF2-40B4-BE49-F238E27FC236}">
              <a16:creationId xmlns:a16="http://schemas.microsoft.com/office/drawing/2014/main" id="{2619D166-0B6D-EF2F-B56C-812237C11009}"/>
            </a:ext>
          </a:extLst>
        </xdr:cNvPr>
        <xdr:cNvSpPr/>
      </xdr:nvSpPr>
      <xdr:spPr>
        <a:xfrm>
          <a:off x="133350" y="104775"/>
          <a:ext cx="2057400" cy="1057275"/>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485775</xdr:colOff>
      <xdr:row>0</xdr:row>
      <xdr:rowOff>104775</xdr:rowOff>
    </xdr:from>
    <xdr:to>
      <xdr:col>28</xdr:col>
      <xdr:colOff>581025</xdr:colOff>
      <xdr:row>6</xdr:row>
      <xdr:rowOff>9525</xdr:rowOff>
    </xdr:to>
    <xdr:sp macro="" textlink="">
      <xdr:nvSpPr>
        <xdr:cNvPr id="3" name="Rectangle 2">
          <a:extLst>
            <a:ext uri="{FF2B5EF4-FFF2-40B4-BE49-F238E27FC236}">
              <a16:creationId xmlns:a16="http://schemas.microsoft.com/office/drawing/2014/main" id="{B06AA058-2FD0-3532-9AA7-8FA0A9FF3DB9}"/>
            </a:ext>
          </a:extLst>
        </xdr:cNvPr>
        <xdr:cNvSpPr/>
      </xdr:nvSpPr>
      <xdr:spPr>
        <a:xfrm>
          <a:off x="2314575" y="104775"/>
          <a:ext cx="15335250" cy="1047750"/>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6</xdr:row>
      <xdr:rowOff>142875</xdr:rowOff>
    </xdr:from>
    <xdr:to>
      <xdr:col>3</xdr:col>
      <xdr:colOff>361950</xdr:colOff>
      <xdr:row>45</xdr:row>
      <xdr:rowOff>114300</xdr:rowOff>
    </xdr:to>
    <xdr:sp macro="" textlink="">
      <xdr:nvSpPr>
        <xdr:cNvPr id="4" name="Rectangle 3">
          <a:extLst>
            <a:ext uri="{FF2B5EF4-FFF2-40B4-BE49-F238E27FC236}">
              <a16:creationId xmlns:a16="http://schemas.microsoft.com/office/drawing/2014/main" id="{C84463BB-6FBB-4407-8370-32661FA4B92C}"/>
            </a:ext>
          </a:extLst>
        </xdr:cNvPr>
        <xdr:cNvSpPr/>
      </xdr:nvSpPr>
      <xdr:spPr>
        <a:xfrm>
          <a:off x="133350" y="1285875"/>
          <a:ext cx="2057400" cy="7400925"/>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6</xdr:row>
      <xdr:rowOff>157163</xdr:rowOff>
    </xdr:from>
    <xdr:to>
      <xdr:col>8</xdr:col>
      <xdr:colOff>391184</xdr:colOff>
      <xdr:row>12</xdr:row>
      <xdr:rowOff>90488</xdr:rowOff>
    </xdr:to>
    <xdr:sp macro="" textlink="">
      <xdr:nvSpPr>
        <xdr:cNvPr id="5" name="Rectangle: Rounded Corners 4">
          <a:extLst>
            <a:ext uri="{FF2B5EF4-FFF2-40B4-BE49-F238E27FC236}">
              <a16:creationId xmlns:a16="http://schemas.microsoft.com/office/drawing/2014/main" id="{A0CB0FC2-1518-6217-75BE-2C95C9EA4DE4}"/>
            </a:ext>
          </a:extLst>
        </xdr:cNvPr>
        <xdr:cNvSpPr/>
      </xdr:nvSpPr>
      <xdr:spPr>
        <a:xfrm>
          <a:off x="2362200" y="1300163"/>
          <a:ext cx="2905784" cy="1076325"/>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576098</xdr:colOff>
      <xdr:row>6</xdr:row>
      <xdr:rowOff>157163</xdr:rowOff>
    </xdr:from>
    <xdr:to>
      <xdr:col>13</xdr:col>
      <xdr:colOff>433882</xdr:colOff>
      <xdr:row>12</xdr:row>
      <xdr:rowOff>90488</xdr:rowOff>
    </xdr:to>
    <xdr:sp macro="" textlink="">
      <xdr:nvSpPr>
        <xdr:cNvPr id="6" name="Rectangle: Rounded Corners 5">
          <a:extLst>
            <a:ext uri="{FF2B5EF4-FFF2-40B4-BE49-F238E27FC236}">
              <a16:creationId xmlns:a16="http://schemas.microsoft.com/office/drawing/2014/main" id="{997F4A31-9DE1-21EF-98E3-0BC3BBABB873}"/>
            </a:ext>
          </a:extLst>
        </xdr:cNvPr>
        <xdr:cNvSpPr/>
      </xdr:nvSpPr>
      <xdr:spPr>
        <a:xfrm>
          <a:off x="5452898" y="1300163"/>
          <a:ext cx="2905784" cy="1076325"/>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9197</xdr:colOff>
      <xdr:row>6</xdr:row>
      <xdr:rowOff>157163</xdr:rowOff>
    </xdr:from>
    <xdr:to>
      <xdr:col>18</xdr:col>
      <xdr:colOff>476581</xdr:colOff>
      <xdr:row>12</xdr:row>
      <xdr:rowOff>90488</xdr:rowOff>
    </xdr:to>
    <xdr:sp macro="" textlink="">
      <xdr:nvSpPr>
        <xdr:cNvPr id="7" name="Rectangle: Rounded Corners 6">
          <a:extLst>
            <a:ext uri="{FF2B5EF4-FFF2-40B4-BE49-F238E27FC236}">
              <a16:creationId xmlns:a16="http://schemas.microsoft.com/office/drawing/2014/main" id="{3A566B72-9745-7955-3F4C-10C0AA9C84E9}"/>
            </a:ext>
          </a:extLst>
        </xdr:cNvPr>
        <xdr:cNvSpPr/>
      </xdr:nvSpPr>
      <xdr:spPr>
        <a:xfrm>
          <a:off x="8543597" y="1300163"/>
          <a:ext cx="2905784" cy="1076325"/>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51895</xdr:colOff>
      <xdr:row>6</xdr:row>
      <xdr:rowOff>157163</xdr:rowOff>
    </xdr:from>
    <xdr:to>
      <xdr:col>23</xdr:col>
      <xdr:colOff>519279</xdr:colOff>
      <xdr:row>12</xdr:row>
      <xdr:rowOff>90488</xdr:rowOff>
    </xdr:to>
    <xdr:sp macro="" textlink="">
      <xdr:nvSpPr>
        <xdr:cNvPr id="8" name="Rectangle: Rounded Corners 7">
          <a:extLst>
            <a:ext uri="{FF2B5EF4-FFF2-40B4-BE49-F238E27FC236}">
              <a16:creationId xmlns:a16="http://schemas.microsoft.com/office/drawing/2014/main" id="{EA2CD68E-ACCB-3D84-BA92-A6D1508D149D}"/>
            </a:ext>
          </a:extLst>
        </xdr:cNvPr>
        <xdr:cNvSpPr/>
      </xdr:nvSpPr>
      <xdr:spPr>
        <a:xfrm>
          <a:off x="11634295" y="1300163"/>
          <a:ext cx="2905784" cy="1076325"/>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94591</xdr:colOff>
      <xdr:row>6</xdr:row>
      <xdr:rowOff>157163</xdr:rowOff>
    </xdr:from>
    <xdr:to>
      <xdr:col>28</xdr:col>
      <xdr:colOff>561975</xdr:colOff>
      <xdr:row>12</xdr:row>
      <xdr:rowOff>90488</xdr:rowOff>
    </xdr:to>
    <xdr:sp macro="" textlink="">
      <xdr:nvSpPr>
        <xdr:cNvPr id="9" name="Rectangle: Rounded Corners 8">
          <a:extLst>
            <a:ext uri="{FF2B5EF4-FFF2-40B4-BE49-F238E27FC236}">
              <a16:creationId xmlns:a16="http://schemas.microsoft.com/office/drawing/2014/main" id="{8D9BD0DC-E139-ECDD-C516-D32E2EFFD45B}"/>
            </a:ext>
          </a:extLst>
        </xdr:cNvPr>
        <xdr:cNvSpPr/>
      </xdr:nvSpPr>
      <xdr:spPr>
        <a:xfrm>
          <a:off x="14724991" y="1300163"/>
          <a:ext cx="2905784" cy="1076325"/>
        </a:xfrm>
        <a:prstGeom prst="roundRect">
          <a:avLst>
            <a:gd name="adj" fmla="val 97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600075</xdr:colOff>
      <xdr:row>6</xdr:row>
      <xdr:rowOff>61912</xdr:rowOff>
    </xdr:from>
    <xdr:to>
      <xdr:col>8</xdr:col>
      <xdr:colOff>426983</xdr:colOff>
      <xdr:row>9</xdr:row>
      <xdr:rowOff>119062</xdr:rowOff>
    </xdr:to>
    <xdr:sp macro="" textlink="">
      <xdr:nvSpPr>
        <xdr:cNvPr id="11" name="TextBox 10">
          <a:extLst>
            <a:ext uri="{FF2B5EF4-FFF2-40B4-BE49-F238E27FC236}">
              <a16:creationId xmlns:a16="http://schemas.microsoft.com/office/drawing/2014/main" id="{E82ED655-569F-FDD5-E3F6-1D512015CF23}"/>
            </a:ext>
          </a:extLst>
        </xdr:cNvPr>
        <xdr:cNvSpPr txBox="1"/>
      </xdr:nvSpPr>
      <xdr:spPr>
        <a:xfrm>
          <a:off x="3038475" y="1204912"/>
          <a:ext cx="226530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Semibold" panose="020B0702040204020203" pitchFamily="34" charset="0"/>
              <a:cs typeface="Segoe UI Semibold" panose="020B0702040204020203" pitchFamily="34" charset="0"/>
            </a:rPr>
            <a:t>Overall</a:t>
          </a:r>
          <a:r>
            <a:rPr lang="en-IN" sz="3200" b="1" baseline="0">
              <a:latin typeface="Segoe UI Semibold" panose="020B0702040204020203" pitchFamily="34" charset="0"/>
              <a:cs typeface="Segoe UI Semibold" panose="020B0702040204020203" pitchFamily="34" charset="0"/>
            </a:rPr>
            <a:t> HC</a:t>
          </a:r>
          <a:endParaRPr lang="en-IN" sz="3200" b="1">
            <a:latin typeface="Segoe UI Semibold" panose="020B0702040204020203" pitchFamily="34" charset="0"/>
            <a:cs typeface="Segoe UI Semibold" panose="020B0702040204020203" pitchFamily="34" charset="0"/>
          </a:endParaRPr>
        </a:p>
      </xdr:txBody>
    </xdr:sp>
    <xdr:clientData/>
  </xdr:twoCellAnchor>
  <xdr:twoCellAnchor>
    <xdr:from>
      <xdr:col>5</xdr:col>
      <xdr:colOff>0</xdr:colOff>
      <xdr:row>8</xdr:row>
      <xdr:rowOff>52387</xdr:rowOff>
    </xdr:from>
    <xdr:to>
      <xdr:col>8</xdr:col>
      <xdr:colOff>436508</xdr:colOff>
      <xdr:row>12</xdr:row>
      <xdr:rowOff>52387</xdr:rowOff>
    </xdr:to>
    <xdr:sp macro="" textlink="analysis!$A$15">
      <xdr:nvSpPr>
        <xdr:cNvPr id="12" name="TextBox 11">
          <a:extLst>
            <a:ext uri="{FF2B5EF4-FFF2-40B4-BE49-F238E27FC236}">
              <a16:creationId xmlns:a16="http://schemas.microsoft.com/office/drawing/2014/main" id="{3560A4F5-122E-BFF5-F88B-D6EB83C9F52B}"/>
            </a:ext>
          </a:extLst>
        </xdr:cNvPr>
        <xdr:cNvSpPr txBox="1"/>
      </xdr:nvSpPr>
      <xdr:spPr>
        <a:xfrm>
          <a:off x="3048000" y="1576387"/>
          <a:ext cx="22653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72C8D-E8A8-4B3C-8B93-E6342E7ACDC6}" type="TxLink">
            <a:rPr lang="en-US" sz="4000" b="1" i="0" u="none" strike="noStrike">
              <a:solidFill>
                <a:srgbClr val="000000"/>
              </a:solidFill>
              <a:latin typeface="Segoe UI Semibold" panose="020B0702040204020203" pitchFamily="34" charset="0"/>
              <a:cs typeface="Segoe UI Semibold" panose="020B0702040204020203" pitchFamily="34" charset="0"/>
            </a:rPr>
            <a:pPr algn="ctr"/>
            <a:t>171</a:t>
          </a:fld>
          <a:endParaRPr lang="en-IN" sz="88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123825</xdr:colOff>
      <xdr:row>6</xdr:row>
      <xdr:rowOff>61912</xdr:rowOff>
    </xdr:from>
    <xdr:to>
      <xdr:col>13</xdr:col>
      <xdr:colOff>560333</xdr:colOff>
      <xdr:row>9</xdr:row>
      <xdr:rowOff>119062</xdr:rowOff>
    </xdr:to>
    <xdr:sp macro="" textlink="">
      <xdr:nvSpPr>
        <xdr:cNvPr id="13" name="TextBox 12">
          <a:extLst>
            <a:ext uri="{FF2B5EF4-FFF2-40B4-BE49-F238E27FC236}">
              <a16:creationId xmlns:a16="http://schemas.microsoft.com/office/drawing/2014/main" id="{C43D1EAF-20A9-061C-E467-ADE914F944C1}"/>
            </a:ext>
          </a:extLst>
        </xdr:cNvPr>
        <xdr:cNvSpPr txBox="1"/>
      </xdr:nvSpPr>
      <xdr:spPr>
        <a:xfrm>
          <a:off x="6219825" y="1204912"/>
          <a:ext cx="226530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Semibold" panose="020B0702040204020203" pitchFamily="34" charset="0"/>
              <a:cs typeface="Segoe UI Semibold" panose="020B0702040204020203" pitchFamily="34" charset="0"/>
            </a:rPr>
            <a:t>Active</a:t>
          </a:r>
          <a:r>
            <a:rPr lang="en-IN" sz="3200" b="1" baseline="0">
              <a:latin typeface="Segoe UI Semibold" panose="020B0702040204020203" pitchFamily="34" charset="0"/>
              <a:cs typeface="Segoe UI Semibold" panose="020B0702040204020203" pitchFamily="34" charset="0"/>
            </a:rPr>
            <a:t> HC</a:t>
          </a:r>
          <a:endParaRPr lang="en-IN" sz="32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133350</xdr:colOff>
      <xdr:row>8</xdr:row>
      <xdr:rowOff>52387</xdr:rowOff>
    </xdr:from>
    <xdr:to>
      <xdr:col>13</xdr:col>
      <xdr:colOff>569858</xdr:colOff>
      <xdr:row>12</xdr:row>
      <xdr:rowOff>52387</xdr:rowOff>
    </xdr:to>
    <xdr:sp macro="" textlink="analysis!$C$15">
      <xdr:nvSpPr>
        <xdr:cNvPr id="14" name="TextBox 13">
          <a:extLst>
            <a:ext uri="{FF2B5EF4-FFF2-40B4-BE49-F238E27FC236}">
              <a16:creationId xmlns:a16="http://schemas.microsoft.com/office/drawing/2014/main" id="{C0B5F9A5-3325-08C8-1046-F20572868DB7}"/>
            </a:ext>
          </a:extLst>
        </xdr:cNvPr>
        <xdr:cNvSpPr txBox="1"/>
      </xdr:nvSpPr>
      <xdr:spPr>
        <a:xfrm>
          <a:off x="6229350" y="1576387"/>
          <a:ext cx="22653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29E30E-ACDD-4B2D-960F-3CB5DF6A70AB}" type="TxLink">
            <a:rPr lang="en-US" sz="40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118</a:t>
          </a:fld>
          <a:endParaRPr lang="en-IN" sz="40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133350</xdr:colOff>
      <xdr:row>6</xdr:row>
      <xdr:rowOff>61912</xdr:rowOff>
    </xdr:from>
    <xdr:to>
      <xdr:col>18</xdr:col>
      <xdr:colOff>569858</xdr:colOff>
      <xdr:row>9</xdr:row>
      <xdr:rowOff>119062</xdr:rowOff>
    </xdr:to>
    <xdr:sp macro="" textlink="">
      <xdr:nvSpPr>
        <xdr:cNvPr id="15" name="TextBox 14">
          <a:extLst>
            <a:ext uri="{FF2B5EF4-FFF2-40B4-BE49-F238E27FC236}">
              <a16:creationId xmlns:a16="http://schemas.microsoft.com/office/drawing/2014/main" id="{4FB68E42-E938-AE27-CBD0-568FB112AF52}"/>
            </a:ext>
          </a:extLst>
        </xdr:cNvPr>
        <xdr:cNvSpPr txBox="1"/>
      </xdr:nvSpPr>
      <xdr:spPr>
        <a:xfrm>
          <a:off x="9277350" y="1204912"/>
          <a:ext cx="226530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Semibold" panose="020B0702040204020203" pitchFamily="34" charset="0"/>
              <a:cs typeface="Segoe UI Semibold" panose="020B0702040204020203" pitchFamily="34" charset="0"/>
            </a:rPr>
            <a:t>Attrition</a:t>
          </a:r>
        </a:p>
      </xdr:txBody>
    </xdr:sp>
    <xdr:clientData/>
  </xdr:twoCellAnchor>
  <xdr:twoCellAnchor>
    <xdr:from>
      <xdr:col>15</xdr:col>
      <xdr:colOff>142875</xdr:colOff>
      <xdr:row>8</xdr:row>
      <xdr:rowOff>52387</xdr:rowOff>
    </xdr:from>
    <xdr:to>
      <xdr:col>18</xdr:col>
      <xdr:colOff>579383</xdr:colOff>
      <xdr:row>12</xdr:row>
      <xdr:rowOff>52387</xdr:rowOff>
    </xdr:to>
    <xdr:sp macro="" textlink="analysis!$A$18">
      <xdr:nvSpPr>
        <xdr:cNvPr id="16" name="TextBox 15">
          <a:extLst>
            <a:ext uri="{FF2B5EF4-FFF2-40B4-BE49-F238E27FC236}">
              <a16:creationId xmlns:a16="http://schemas.microsoft.com/office/drawing/2014/main" id="{1A500E30-254D-2264-51EC-05B371E4BA41}"/>
            </a:ext>
          </a:extLst>
        </xdr:cNvPr>
        <xdr:cNvSpPr txBox="1"/>
      </xdr:nvSpPr>
      <xdr:spPr>
        <a:xfrm>
          <a:off x="9286875" y="1576387"/>
          <a:ext cx="22653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E3155E-B764-408D-81DD-8709C92A81AD}" type="TxLink">
            <a:rPr lang="en-US" sz="40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47</a:t>
          </a:fld>
          <a:endParaRPr lang="en-IN" sz="40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180975</xdr:colOff>
      <xdr:row>6</xdr:row>
      <xdr:rowOff>61912</xdr:rowOff>
    </xdr:from>
    <xdr:to>
      <xdr:col>24</xdr:col>
      <xdr:colOff>7883</xdr:colOff>
      <xdr:row>9</xdr:row>
      <xdr:rowOff>119062</xdr:rowOff>
    </xdr:to>
    <xdr:sp macro="" textlink="">
      <xdr:nvSpPr>
        <xdr:cNvPr id="19" name="TextBox 18">
          <a:extLst>
            <a:ext uri="{FF2B5EF4-FFF2-40B4-BE49-F238E27FC236}">
              <a16:creationId xmlns:a16="http://schemas.microsoft.com/office/drawing/2014/main" id="{02C1B6BE-BDBA-1821-EEC4-AE89D0706753}"/>
            </a:ext>
          </a:extLst>
        </xdr:cNvPr>
        <xdr:cNvSpPr txBox="1"/>
      </xdr:nvSpPr>
      <xdr:spPr>
        <a:xfrm>
          <a:off x="12372975" y="1204912"/>
          <a:ext cx="226530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Semibold" panose="020B0702040204020203" pitchFamily="34" charset="0"/>
              <a:cs typeface="Segoe UI Semibold" panose="020B0702040204020203" pitchFamily="34" charset="0"/>
            </a:rPr>
            <a:t>Attrition %</a:t>
          </a:r>
        </a:p>
      </xdr:txBody>
    </xdr:sp>
    <xdr:clientData/>
  </xdr:twoCellAnchor>
  <xdr:twoCellAnchor>
    <xdr:from>
      <xdr:col>20</xdr:col>
      <xdr:colOff>190500</xdr:colOff>
      <xdr:row>8</xdr:row>
      <xdr:rowOff>52387</xdr:rowOff>
    </xdr:from>
    <xdr:to>
      <xdr:col>24</xdr:col>
      <xdr:colOff>17408</xdr:colOff>
      <xdr:row>12</xdr:row>
      <xdr:rowOff>52387</xdr:rowOff>
    </xdr:to>
    <xdr:sp macro="" textlink="analysis!$C$18">
      <xdr:nvSpPr>
        <xdr:cNvPr id="20" name="TextBox 19">
          <a:extLst>
            <a:ext uri="{FF2B5EF4-FFF2-40B4-BE49-F238E27FC236}">
              <a16:creationId xmlns:a16="http://schemas.microsoft.com/office/drawing/2014/main" id="{39C9A7A8-B69D-83C5-3E87-3A4061DFD1DB}"/>
            </a:ext>
          </a:extLst>
        </xdr:cNvPr>
        <xdr:cNvSpPr txBox="1"/>
      </xdr:nvSpPr>
      <xdr:spPr>
        <a:xfrm>
          <a:off x="12382500" y="1576387"/>
          <a:ext cx="22653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BD59A-5F41-484C-9ED6-98E1A4DAA85C}" type="TxLink">
            <a:rPr lang="en-US" sz="40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27%</a:t>
          </a:fld>
          <a:endParaRPr lang="en-IN" sz="40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25</xdr:col>
      <xdr:colOff>238125</xdr:colOff>
      <xdr:row>6</xdr:row>
      <xdr:rowOff>61912</xdr:rowOff>
    </xdr:from>
    <xdr:to>
      <xdr:col>29</xdr:col>
      <xdr:colOff>65033</xdr:colOff>
      <xdr:row>9</xdr:row>
      <xdr:rowOff>119062</xdr:rowOff>
    </xdr:to>
    <xdr:sp macro="" textlink="">
      <xdr:nvSpPr>
        <xdr:cNvPr id="21" name="TextBox 20">
          <a:extLst>
            <a:ext uri="{FF2B5EF4-FFF2-40B4-BE49-F238E27FC236}">
              <a16:creationId xmlns:a16="http://schemas.microsoft.com/office/drawing/2014/main" id="{E55EB973-2A7A-D20D-37DE-2B4D7B27613E}"/>
            </a:ext>
          </a:extLst>
        </xdr:cNvPr>
        <xdr:cNvSpPr txBox="1"/>
      </xdr:nvSpPr>
      <xdr:spPr>
        <a:xfrm>
          <a:off x="15478125" y="1204912"/>
          <a:ext cx="2265308"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Semibold" panose="020B0702040204020203" pitchFamily="34" charset="0"/>
              <a:cs typeface="Segoe UI Semibold" panose="020B0702040204020203" pitchFamily="34" charset="0"/>
            </a:rPr>
            <a:t>Transfer</a:t>
          </a:r>
        </a:p>
      </xdr:txBody>
    </xdr:sp>
    <xdr:clientData/>
  </xdr:twoCellAnchor>
  <xdr:twoCellAnchor>
    <xdr:from>
      <xdr:col>25</xdr:col>
      <xdr:colOff>247650</xdr:colOff>
      <xdr:row>8</xdr:row>
      <xdr:rowOff>52387</xdr:rowOff>
    </xdr:from>
    <xdr:to>
      <xdr:col>29</xdr:col>
      <xdr:colOff>74558</xdr:colOff>
      <xdr:row>12</xdr:row>
      <xdr:rowOff>52387</xdr:rowOff>
    </xdr:to>
    <xdr:sp macro="" textlink="analysis!$A$21">
      <xdr:nvSpPr>
        <xdr:cNvPr id="22" name="TextBox 21">
          <a:extLst>
            <a:ext uri="{FF2B5EF4-FFF2-40B4-BE49-F238E27FC236}">
              <a16:creationId xmlns:a16="http://schemas.microsoft.com/office/drawing/2014/main" id="{C3D20737-84B3-7AB5-FAAC-87C3AFB2F3DC}"/>
            </a:ext>
          </a:extLst>
        </xdr:cNvPr>
        <xdr:cNvSpPr txBox="1"/>
      </xdr:nvSpPr>
      <xdr:spPr>
        <a:xfrm>
          <a:off x="15487650" y="1576387"/>
          <a:ext cx="22653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D019721-724D-416D-BB2F-91010A52F1F3}" type="TxLink">
            <a:rPr lang="en-US" sz="4000" b="1"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6</a:t>
          </a:fld>
          <a:endParaRPr lang="en-IN" sz="4000" b="1"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24</xdr:col>
      <xdr:colOff>57150</xdr:colOff>
      <xdr:row>7</xdr:row>
      <xdr:rowOff>57150</xdr:rowOff>
    </xdr:from>
    <xdr:to>
      <xdr:col>25</xdr:col>
      <xdr:colOff>361950</xdr:colOff>
      <xdr:row>12</xdr:row>
      <xdr:rowOff>19050</xdr:rowOff>
    </xdr:to>
    <xdr:pic>
      <xdr:nvPicPr>
        <xdr:cNvPr id="24" name="Graphic 23" descr="Circles with arrows with solid fill">
          <a:extLst>
            <a:ext uri="{FF2B5EF4-FFF2-40B4-BE49-F238E27FC236}">
              <a16:creationId xmlns:a16="http://schemas.microsoft.com/office/drawing/2014/main" id="{C50603B0-0C67-1100-5204-FA5D0074BC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87550" y="1390650"/>
          <a:ext cx="914400" cy="914400"/>
        </a:xfrm>
        <a:prstGeom prst="rect">
          <a:avLst/>
        </a:prstGeom>
      </xdr:spPr>
    </xdr:pic>
    <xdr:clientData/>
  </xdr:twoCellAnchor>
  <xdr:twoCellAnchor editAs="oneCell">
    <xdr:from>
      <xdr:col>14</xdr:col>
      <xdr:colOff>111900</xdr:colOff>
      <xdr:row>7</xdr:row>
      <xdr:rowOff>36900</xdr:rowOff>
    </xdr:from>
    <xdr:to>
      <xdr:col>15</xdr:col>
      <xdr:colOff>416700</xdr:colOff>
      <xdr:row>11</xdr:row>
      <xdr:rowOff>189300</xdr:rowOff>
    </xdr:to>
    <xdr:pic>
      <xdr:nvPicPr>
        <xdr:cNvPr id="26" name="Graphic 25" descr="Users with solid fill">
          <a:extLst>
            <a:ext uri="{FF2B5EF4-FFF2-40B4-BE49-F238E27FC236}">
              <a16:creationId xmlns:a16="http://schemas.microsoft.com/office/drawing/2014/main" id="{2D835681-2770-6591-5BA2-0D86178EA5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46300" y="1370400"/>
          <a:ext cx="914400" cy="914400"/>
        </a:xfrm>
        <a:prstGeom prst="rect">
          <a:avLst/>
        </a:prstGeom>
      </xdr:spPr>
    </xdr:pic>
    <xdr:clientData/>
  </xdr:twoCellAnchor>
  <xdr:twoCellAnchor editAs="oneCell">
    <xdr:from>
      <xdr:col>9</xdr:col>
      <xdr:colOff>71400</xdr:colOff>
      <xdr:row>6</xdr:row>
      <xdr:rowOff>166650</xdr:rowOff>
    </xdr:from>
    <xdr:to>
      <xdr:col>10</xdr:col>
      <xdr:colOff>376200</xdr:colOff>
      <xdr:row>11</xdr:row>
      <xdr:rowOff>128550</xdr:rowOff>
    </xdr:to>
    <xdr:pic>
      <xdr:nvPicPr>
        <xdr:cNvPr id="28" name="Graphic 27" descr="Group of men with solid fill">
          <a:extLst>
            <a:ext uri="{FF2B5EF4-FFF2-40B4-BE49-F238E27FC236}">
              <a16:creationId xmlns:a16="http://schemas.microsoft.com/office/drawing/2014/main" id="{030E2C25-8EC5-AD39-E1EF-7EC5DC2ED4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57800" y="1309650"/>
          <a:ext cx="914400" cy="914400"/>
        </a:xfrm>
        <a:prstGeom prst="rect">
          <a:avLst/>
        </a:prstGeom>
      </xdr:spPr>
    </xdr:pic>
    <xdr:clientData/>
  </xdr:twoCellAnchor>
  <xdr:twoCellAnchor editAs="oneCell">
    <xdr:from>
      <xdr:col>19</xdr:col>
      <xdr:colOff>69000</xdr:colOff>
      <xdr:row>7</xdr:row>
      <xdr:rowOff>16650</xdr:rowOff>
    </xdr:from>
    <xdr:to>
      <xdr:col>20</xdr:col>
      <xdr:colOff>373800</xdr:colOff>
      <xdr:row>11</xdr:row>
      <xdr:rowOff>169050</xdr:rowOff>
    </xdr:to>
    <xdr:pic>
      <xdr:nvPicPr>
        <xdr:cNvPr id="30" name="Graphic 29" descr="Call center with solid fill">
          <a:extLst>
            <a:ext uri="{FF2B5EF4-FFF2-40B4-BE49-F238E27FC236}">
              <a16:creationId xmlns:a16="http://schemas.microsoft.com/office/drawing/2014/main" id="{C0DC2DC8-8FE3-D02E-7C59-2C74AE6AA7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51400" y="1350150"/>
          <a:ext cx="914400" cy="914400"/>
        </a:xfrm>
        <a:prstGeom prst="rect">
          <a:avLst/>
        </a:prstGeom>
      </xdr:spPr>
    </xdr:pic>
    <xdr:clientData/>
  </xdr:twoCellAnchor>
  <xdr:twoCellAnchor editAs="oneCell">
    <xdr:from>
      <xdr:col>3</xdr:col>
      <xdr:colOff>523800</xdr:colOff>
      <xdr:row>6</xdr:row>
      <xdr:rowOff>186900</xdr:rowOff>
    </xdr:from>
    <xdr:to>
      <xdr:col>5</xdr:col>
      <xdr:colOff>219000</xdr:colOff>
      <xdr:row>11</xdr:row>
      <xdr:rowOff>148800</xdr:rowOff>
    </xdr:to>
    <xdr:pic>
      <xdr:nvPicPr>
        <xdr:cNvPr id="32" name="Graphic 31" descr="Group of people with solid fill">
          <a:extLst>
            <a:ext uri="{FF2B5EF4-FFF2-40B4-BE49-F238E27FC236}">
              <a16:creationId xmlns:a16="http://schemas.microsoft.com/office/drawing/2014/main" id="{345966A0-0E54-1501-9F97-06248371852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52600" y="1329900"/>
          <a:ext cx="914400" cy="914400"/>
        </a:xfrm>
        <a:prstGeom prst="rect">
          <a:avLst/>
        </a:prstGeom>
      </xdr:spPr>
    </xdr:pic>
    <xdr:clientData/>
  </xdr:twoCellAnchor>
  <xdr:twoCellAnchor>
    <xdr:from>
      <xdr:col>3</xdr:col>
      <xdr:colOff>533399</xdr:colOff>
      <xdr:row>13</xdr:row>
      <xdr:rowOff>19050</xdr:rowOff>
    </xdr:from>
    <xdr:to>
      <xdr:col>12</xdr:col>
      <xdr:colOff>581024</xdr:colOff>
      <xdr:row>29</xdr:row>
      <xdr:rowOff>38100</xdr:rowOff>
    </xdr:to>
    <xdr:sp macro="" textlink="">
      <xdr:nvSpPr>
        <xdr:cNvPr id="33" name="Rectangle 32">
          <a:extLst>
            <a:ext uri="{FF2B5EF4-FFF2-40B4-BE49-F238E27FC236}">
              <a16:creationId xmlns:a16="http://schemas.microsoft.com/office/drawing/2014/main" id="{24EA5BF0-798E-DB58-7CC4-93AFE5FB0578}"/>
            </a:ext>
          </a:extLst>
        </xdr:cNvPr>
        <xdr:cNvSpPr/>
      </xdr:nvSpPr>
      <xdr:spPr>
        <a:xfrm>
          <a:off x="2362199" y="2495550"/>
          <a:ext cx="5534025" cy="30670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133350</xdr:colOff>
      <xdr:row>13</xdr:row>
      <xdr:rowOff>9525</xdr:rowOff>
    </xdr:from>
    <xdr:to>
      <xdr:col>19</xdr:col>
      <xdr:colOff>266700</xdr:colOff>
      <xdr:row>29</xdr:row>
      <xdr:rowOff>28575</xdr:rowOff>
    </xdr:to>
    <xdr:sp macro="" textlink="">
      <xdr:nvSpPr>
        <xdr:cNvPr id="34" name="Rectangle 33">
          <a:extLst>
            <a:ext uri="{FF2B5EF4-FFF2-40B4-BE49-F238E27FC236}">
              <a16:creationId xmlns:a16="http://schemas.microsoft.com/office/drawing/2014/main" id="{91AACD00-CB1E-1D11-D0DD-A1220B9C1A93}"/>
            </a:ext>
          </a:extLst>
        </xdr:cNvPr>
        <xdr:cNvSpPr/>
      </xdr:nvSpPr>
      <xdr:spPr>
        <a:xfrm>
          <a:off x="8058150" y="2486025"/>
          <a:ext cx="3790950" cy="30670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409574</xdr:colOff>
      <xdr:row>13</xdr:row>
      <xdr:rowOff>0</xdr:rowOff>
    </xdr:from>
    <xdr:to>
      <xdr:col>28</xdr:col>
      <xdr:colOff>571500</xdr:colOff>
      <xdr:row>29</xdr:row>
      <xdr:rowOff>19050</xdr:rowOff>
    </xdr:to>
    <xdr:sp macro="" textlink="">
      <xdr:nvSpPr>
        <xdr:cNvPr id="35" name="Rectangle 34">
          <a:extLst>
            <a:ext uri="{FF2B5EF4-FFF2-40B4-BE49-F238E27FC236}">
              <a16:creationId xmlns:a16="http://schemas.microsoft.com/office/drawing/2014/main" id="{53B1596F-ED3E-F19C-CC65-EE737E385690}"/>
            </a:ext>
          </a:extLst>
        </xdr:cNvPr>
        <xdr:cNvSpPr/>
      </xdr:nvSpPr>
      <xdr:spPr>
        <a:xfrm>
          <a:off x="11991974" y="2476500"/>
          <a:ext cx="5648326" cy="30670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561974</xdr:colOff>
      <xdr:row>14</xdr:row>
      <xdr:rowOff>133350</xdr:rowOff>
    </xdr:from>
    <xdr:to>
      <xdr:col>12</xdr:col>
      <xdr:colOff>523875</xdr:colOff>
      <xdr:row>29</xdr:row>
      <xdr:rowOff>0</xdr:rowOff>
    </xdr:to>
    <xdr:graphicFrame macro="">
      <xdr:nvGraphicFramePr>
        <xdr:cNvPr id="36" name="Chart 35">
          <a:extLst>
            <a:ext uri="{FF2B5EF4-FFF2-40B4-BE49-F238E27FC236}">
              <a16:creationId xmlns:a16="http://schemas.microsoft.com/office/drawing/2014/main" id="{6830A54B-3849-4142-BFF5-4C0E0C78E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219075</xdr:colOff>
      <xdr:row>12</xdr:row>
      <xdr:rowOff>128587</xdr:rowOff>
    </xdr:from>
    <xdr:to>
      <xdr:col>10</xdr:col>
      <xdr:colOff>95250</xdr:colOff>
      <xdr:row>15</xdr:row>
      <xdr:rowOff>0</xdr:rowOff>
    </xdr:to>
    <xdr:sp macro="" textlink="">
      <xdr:nvSpPr>
        <xdr:cNvPr id="37" name="TextBox 36">
          <a:extLst>
            <a:ext uri="{FF2B5EF4-FFF2-40B4-BE49-F238E27FC236}">
              <a16:creationId xmlns:a16="http://schemas.microsoft.com/office/drawing/2014/main" id="{06FDA3C3-5454-2A28-ECC0-1D46F8331FA0}"/>
            </a:ext>
          </a:extLst>
        </xdr:cNvPr>
        <xdr:cNvSpPr txBox="1"/>
      </xdr:nvSpPr>
      <xdr:spPr>
        <a:xfrm>
          <a:off x="4486275" y="2414587"/>
          <a:ext cx="1704975"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HC Growth</a:t>
          </a:r>
        </a:p>
      </xdr:txBody>
    </xdr:sp>
    <xdr:clientData/>
  </xdr:twoCellAnchor>
  <xdr:twoCellAnchor>
    <xdr:from>
      <xdr:col>14</xdr:col>
      <xdr:colOff>485775</xdr:colOff>
      <xdr:row>12</xdr:row>
      <xdr:rowOff>80962</xdr:rowOff>
    </xdr:from>
    <xdr:to>
      <xdr:col>17</xdr:col>
      <xdr:colOff>361950</xdr:colOff>
      <xdr:row>14</xdr:row>
      <xdr:rowOff>142875</xdr:rowOff>
    </xdr:to>
    <xdr:sp macro="" textlink="">
      <xdr:nvSpPr>
        <xdr:cNvPr id="38" name="TextBox 37">
          <a:extLst>
            <a:ext uri="{FF2B5EF4-FFF2-40B4-BE49-F238E27FC236}">
              <a16:creationId xmlns:a16="http://schemas.microsoft.com/office/drawing/2014/main" id="{DB2CC26C-02F4-6870-B63F-169C74CFDB9F}"/>
            </a:ext>
          </a:extLst>
        </xdr:cNvPr>
        <xdr:cNvSpPr txBox="1"/>
      </xdr:nvSpPr>
      <xdr:spPr>
        <a:xfrm>
          <a:off x="9020175" y="2366962"/>
          <a:ext cx="1704975"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Diversity %</a:t>
          </a:r>
        </a:p>
      </xdr:txBody>
    </xdr:sp>
    <xdr:clientData/>
  </xdr:twoCellAnchor>
  <xdr:twoCellAnchor>
    <xdr:from>
      <xdr:col>13</xdr:col>
      <xdr:colOff>133350</xdr:colOff>
      <xdr:row>14</xdr:row>
      <xdr:rowOff>114300</xdr:rowOff>
    </xdr:from>
    <xdr:to>
      <xdr:col>19</xdr:col>
      <xdr:colOff>219076</xdr:colOff>
      <xdr:row>29</xdr:row>
      <xdr:rowOff>0</xdr:rowOff>
    </xdr:to>
    <xdr:graphicFrame macro="">
      <xdr:nvGraphicFramePr>
        <xdr:cNvPr id="39" name="Chart 38">
          <a:extLst>
            <a:ext uri="{FF2B5EF4-FFF2-40B4-BE49-F238E27FC236}">
              <a16:creationId xmlns:a16="http://schemas.microsoft.com/office/drawing/2014/main" id="{7FBD20D8-9437-4F64-9AF8-9F4D92E4D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208350</xdr:colOff>
      <xdr:row>14</xdr:row>
      <xdr:rowOff>185738</xdr:rowOff>
    </xdr:from>
    <xdr:to>
      <xdr:col>18</xdr:col>
      <xdr:colOff>513150</xdr:colOff>
      <xdr:row>19</xdr:row>
      <xdr:rowOff>147638</xdr:rowOff>
    </xdr:to>
    <xdr:pic>
      <xdr:nvPicPr>
        <xdr:cNvPr id="40" name="Graphic 39" descr="Man with solid fill">
          <a:extLst>
            <a:ext uri="{FF2B5EF4-FFF2-40B4-BE49-F238E27FC236}">
              <a16:creationId xmlns:a16="http://schemas.microsoft.com/office/drawing/2014/main" id="{9A86576F-0709-4B1A-A3F1-1BC5A7C770A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71550" y="2852738"/>
          <a:ext cx="914400" cy="914400"/>
        </a:xfrm>
        <a:prstGeom prst="rect">
          <a:avLst/>
        </a:prstGeom>
      </xdr:spPr>
    </xdr:pic>
    <xdr:clientData/>
  </xdr:twoCellAnchor>
  <xdr:twoCellAnchor editAs="oneCell">
    <xdr:from>
      <xdr:col>17</xdr:col>
      <xdr:colOff>27375</xdr:colOff>
      <xdr:row>21</xdr:row>
      <xdr:rowOff>173813</xdr:rowOff>
    </xdr:from>
    <xdr:to>
      <xdr:col>18</xdr:col>
      <xdr:colOff>332175</xdr:colOff>
      <xdr:row>26</xdr:row>
      <xdr:rowOff>135713</xdr:rowOff>
    </xdr:to>
    <xdr:pic>
      <xdr:nvPicPr>
        <xdr:cNvPr id="41" name="Graphic 40" descr="Woman with solid fill">
          <a:extLst>
            <a:ext uri="{FF2B5EF4-FFF2-40B4-BE49-F238E27FC236}">
              <a16:creationId xmlns:a16="http://schemas.microsoft.com/office/drawing/2014/main" id="{46103E45-F730-4004-A5F2-1160626DC03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90575" y="4174313"/>
          <a:ext cx="914400" cy="914400"/>
        </a:xfrm>
        <a:prstGeom prst="rect">
          <a:avLst/>
        </a:prstGeom>
      </xdr:spPr>
    </xdr:pic>
    <xdr:clientData/>
  </xdr:twoCellAnchor>
  <xdr:twoCellAnchor>
    <xdr:from>
      <xdr:col>18</xdr:col>
      <xdr:colOff>57150</xdr:colOff>
      <xdr:row>17</xdr:row>
      <xdr:rowOff>90487</xdr:rowOff>
    </xdr:from>
    <xdr:to>
      <xdr:col>19</xdr:col>
      <xdr:colOff>381000</xdr:colOff>
      <xdr:row>19</xdr:row>
      <xdr:rowOff>152400</xdr:rowOff>
    </xdr:to>
    <xdr:sp macro="" textlink="">
      <xdr:nvSpPr>
        <xdr:cNvPr id="42" name="TextBox 41">
          <a:extLst>
            <a:ext uri="{FF2B5EF4-FFF2-40B4-BE49-F238E27FC236}">
              <a16:creationId xmlns:a16="http://schemas.microsoft.com/office/drawing/2014/main" id="{5DFBB3BC-0F6F-DCBB-59BE-679E0BD8DAC6}"/>
            </a:ext>
          </a:extLst>
        </xdr:cNvPr>
        <xdr:cNvSpPr txBox="1"/>
      </xdr:nvSpPr>
      <xdr:spPr>
        <a:xfrm>
          <a:off x="11029950" y="3328987"/>
          <a:ext cx="9334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lumMod val="60000"/>
                  <a:lumOff val="40000"/>
                </a:schemeClr>
              </a:solidFill>
              <a:latin typeface="Segoe UI Semibold" panose="020B0702040204020203" pitchFamily="34" charset="0"/>
              <a:cs typeface="Segoe UI Semibold" panose="020B0702040204020203" pitchFamily="34" charset="0"/>
            </a:rPr>
            <a:t>Male</a:t>
          </a:r>
        </a:p>
      </xdr:txBody>
    </xdr:sp>
    <xdr:clientData/>
  </xdr:twoCellAnchor>
  <xdr:twoCellAnchor>
    <xdr:from>
      <xdr:col>17</xdr:col>
      <xdr:colOff>504825</xdr:colOff>
      <xdr:row>24</xdr:row>
      <xdr:rowOff>128587</xdr:rowOff>
    </xdr:from>
    <xdr:to>
      <xdr:col>19</xdr:col>
      <xdr:colOff>361950</xdr:colOff>
      <xdr:row>27</xdr:row>
      <xdr:rowOff>0</xdr:rowOff>
    </xdr:to>
    <xdr:sp macro="" textlink="">
      <xdr:nvSpPr>
        <xdr:cNvPr id="43" name="TextBox 42">
          <a:extLst>
            <a:ext uri="{FF2B5EF4-FFF2-40B4-BE49-F238E27FC236}">
              <a16:creationId xmlns:a16="http://schemas.microsoft.com/office/drawing/2014/main" id="{E16BD0F9-EC70-A50F-4B2B-46AAAD3E1E81}"/>
            </a:ext>
          </a:extLst>
        </xdr:cNvPr>
        <xdr:cNvSpPr txBox="1"/>
      </xdr:nvSpPr>
      <xdr:spPr>
        <a:xfrm>
          <a:off x="10868025" y="4700587"/>
          <a:ext cx="1076325"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5">
                  <a:lumMod val="20000"/>
                  <a:lumOff val="80000"/>
                </a:schemeClr>
              </a:solidFill>
              <a:latin typeface="Segoe UI Semibold" panose="020B0702040204020203" pitchFamily="34" charset="0"/>
              <a:cs typeface="Segoe UI Semibold" panose="020B0702040204020203" pitchFamily="34" charset="0"/>
            </a:rPr>
            <a:t>Female</a:t>
          </a:r>
        </a:p>
      </xdr:txBody>
    </xdr:sp>
    <xdr:clientData/>
  </xdr:twoCellAnchor>
  <xdr:twoCellAnchor>
    <xdr:from>
      <xdr:col>18</xdr:col>
      <xdr:colOff>85725</xdr:colOff>
      <xdr:row>15</xdr:row>
      <xdr:rowOff>176212</xdr:rowOff>
    </xdr:from>
    <xdr:to>
      <xdr:col>19</xdr:col>
      <xdr:colOff>409575</xdr:colOff>
      <xdr:row>18</xdr:row>
      <xdr:rowOff>47625</xdr:rowOff>
    </xdr:to>
    <xdr:sp macro="" textlink="analysis!$H$5">
      <xdr:nvSpPr>
        <xdr:cNvPr id="44" name="TextBox 43">
          <a:extLst>
            <a:ext uri="{FF2B5EF4-FFF2-40B4-BE49-F238E27FC236}">
              <a16:creationId xmlns:a16="http://schemas.microsoft.com/office/drawing/2014/main" id="{5872B97F-7D02-9745-6A6F-F46E28C5CE61}"/>
            </a:ext>
          </a:extLst>
        </xdr:cNvPr>
        <xdr:cNvSpPr txBox="1"/>
      </xdr:nvSpPr>
      <xdr:spPr>
        <a:xfrm>
          <a:off x="11058525" y="3033712"/>
          <a:ext cx="9334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1938EB4-E3FC-4F91-8039-82043D8E6DDD}" type="TxLink">
            <a:rPr lang="en-US" sz="2000" b="1">
              <a:solidFill>
                <a:schemeClr val="accent1">
                  <a:lumMod val="60000"/>
                  <a:lumOff val="40000"/>
                </a:schemeClr>
              </a:solidFill>
              <a:latin typeface="Segoe UI Semibold" panose="020B0702040204020203" pitchFamily="34" charset="0"/>
              <a:ea typeface="+mn-ea"/>
              <a:cs typeface="Segoe UI Semibold" panose="020B0702040204020203" pitchFamily="34" charset="0"/>
            </a:rPr>
            <a:pPr marL="0" indent="0" algn="ctr"/>
            <a:t>73</a:t>
          </a:fld>
          <a:endParaRPr lang="en-IN" sz="2000" b="1">
            <a:solidFill>
              <a:schemeClr val="accent1">
                <a:lumMod val="60000"/>
                <a:lumOff val="4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0</xdr:colOff>
      <xdr:row>23</xdr:row>
      <xdr:rowOff>33337</xdr:rowOff>
    </xdr:from>
    <xdr:to>
      <xdr:col>19</xdr:col>
      <xdr:colOff>323850</xdr:colOff>
      <xdr:row>25</xdr:row>
      <xdr:rowOff>95250</xdr:rowOff>
    </xdr:to>
    <xdr:sp macro="" textlink="analysis!$H$4">
      <xdr:nvSpPr>
        <xdr:cNvPr id="45" name="TextBox 44">
          <a:extLst>
            <a:ext uri="{FF2B5EF4-FFF2-40B4-BE49-F238E27FC236}">
              <a16:creationId xmlns:a16="http://schemas.microsoft.com/office/drawing/2014/main" id="{835A71A8-31CE-81CB-80EF-D0889A634A89}"/>
            </a:ext>
          </a:extLst>
        </xdr:cNvPr>
        <xdr:cNvSpPr txBox="1"/>
      </xdr:nvSpPr>
      <xdr:spPr>
        <a:xfrm>
          <a:off x="10972800" y="4414837"/>
          <a:ext cx="9334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20420B7-AC12-41CE-9991-0283C7FE5F0D}" type="TxLink">
            <a:rPr lang="en-US" sz="2000" b="1">
              <a:solidFill>
                <a:schemeClr val="accent5">
                  <a:lumMod val="20000"/>
                  <a:lumOff val="80000"/>
                </a:schemeClr>
              </a:solidFill>
              <a:latin typeface="Segoe UI Semibold" panose="020B0702040204020203" pitchFamily="34" charset="0"/>
              <a:ea typeface="+mn-ea"/>
              <a:cs typeface="Segoe UI Semibold" panose="020B0702040204020203" pitchFamily="34" charset="0"/>
            </a:rPr>
            <a:pPr marL="0" indent="0" algn="ctr"/>
            <a:t>45</a:t>
          </a:fld>
          <a:endParaRPr lang="en-IN" sz="2000" b="1">
            <a:solidFill>
              <a:schemeClr val="accent5">
                <a:lumMod val="20000"/>
                <a:lumOff val="8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400050</xdr:colOff>
      <xdr:row>12</xdr:row>
      <xdr:rowOff>28575</xdr:rowOff>
    </xdr:from>
    <xdr:to>
      <xdr:col>29</xdr:col>
      <xdr:colOff>9525</xdr:colOff>
      <xdr:row>32</xdr:row>
      <xdr:rowOff>28575</xdr:rowOff>
    </xdr:to>
    <xdr:graphicFrame macro="">
      <xdr:nvGraphicFramePr>
        <xdr:cNvPr id="46" name="Chart 45">
          <a:extLst>
            <a:ext uri="{FF2B5EF4-FFF2-40B4-BE49-F238E27FC236}">
              <a16:creationId xmlns:a16="http://schemas.microsoft.com/office/drawing/2014/main" id="{6AA33B9B-CBDF-40F4-A183-86E48EC85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581025</xdr:colOff>
      <xdr:row>20</xdr:row>
      <xdr:rowOff>128587</xdr:rowOff>
    </xdr:from>
    <xdr:to>
      <xdr:col>28</xdr:col>
      <xdr:colOff>457200</xdr:colOff>
      <xdr:row>22</xdr:row>
      <xdr:rowOff>114300</xdr:rowOff>
    </xdr:to>
    <xdr:sp macro="" textlink="">
      <xdr:nvSpPr>
        <xdr:cNvPr id="10" name="TextBox 9">
          <a:extLst>
            <a:ext uri="{FF2B5EF4-FFF2-40B4-BE49-F238E27FC236}">
              <a16:creationId xmlns:a16="http://schemas.microsoft.com/office/drawing/2014/main" id="{8568CFD3-8A04-78BE-C6D3-4239DF876F5F}"/>
            </a:ext>
          </a:extLst>
        </xdr:cNvPr>
        <xdr:cNvSpPr txBox="1"/>
      </xdr:nvSpPr>
      <xdr:spPr>
        <a:xfrm>
          <a:off x="15821025" y="3938587"/>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Management</a:t>
          </a:r>
        </a:p>
      </xdr:txBody>
    </xdr:sp>
    <xdr:clientData/>
  </xdr:twoCellAnchor>
  <xdr:twoCellAnchor>
    <xdr:from>
      <xdr:col>25</xdr:col>
      <xdr:colOff>533400</xdr:colOff>
      <xdr:row>17</xdr:row>
      <xdr:rowOff>185737</xdr:rowOff>
    </xdr:from>
    <xdr:to>
      <xdr:col>28</xdr:col>
      <xdr:colOff>409575</xdr:colOff>
      <xdr:row>19</xdr:row>
      <xdr:rowOff>171450</xdr:rowOff>
    </xdr:to>
    <xdr:sp macro="" textlink="">
      <xdr:nvSpPr>
        <xdr:cNvPr id="17" name="TextBox 16">
          <a:extLst>
            <a:ext uri="{FF2B5EF4-FFF2-40B4-BE49-F238E27FC236}">
              <a16:creationId xmlns:a16="http://schemas.microsoft.com/office/drawing/2014/main" id="{DF33B07C-6882-C877-84DE-50B7DF11360E}"/>
            </a:ext>
          </a:extLst>
        </xdr:cNvPr>
        <xdr:cNvSpPr txBox="1"/>
      </xdr:nvSpPr>
      <xdr:spPr>
        <a:xfrm>
          <a:off x="15773400" y="3424237"/>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Professional</a:t>
          </a:r>
        </a:p>
      </xdr:txBody>
    </xdr:sp>
    <xdr:clientData/>
  </xdr:twoCellAnchor>
  <xdr:twoCellAnchor>
    <xdr:from>
      <xdr:col>25</xdr:col>
      <xdr:colOff>533400</xdr:colOff>
      <xdr:row>14</xdr:row>
      <xdr:rowOff>71437</xdr:rowOff>
    </xdr:from>
    <xdr:to>
      <xdr:col>28</xdr:col>
      <xdr:colOff>409575</xdr:colOff>
      <xdr:row>16</xdr:row>
      <xdr:rowOff>57150</xdr:rowOff>
    </xdr:to>
    <xdr:sp macro="" textlink="">
      <xdr:nvSpPr>
        <xdr:cNvPr id="18" name="TextBox 17">
          <a:extLst>
            <a:ext uri="{FF2B5EF4-FFF2-40B4-BE49-F238E27FC236}">
              <a16:creationId xmlns:a16="http://schemas.microsoft.com/office/drawing/2014/main" id="{820B6ABF-010A-E4E4-E811-981CA8AD556F}"/>
            </a:ext>
          </a:extLst>
        </xdr:cNvPr>
        <xdr:cNvSpPr txBox="1"/>
      </xdr:nvSpPr>
      <xdr:spPr>
        <a:xfrm>
          <a:off x="15773400" y="2738437"/>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Trainees</a:t>
          </a:r>
        </a:p>
      </xdr:txBody>
    </xdr:sp>
    <xdr:clientData/>
  </xdr:twoCellAnchor>
  <xdr:twoCellAnchor>
    <xdr:from>
      <xdr:col>25</xdr:col>
      <xdr:colOff>523875</xdr:colOff>
      <xdr:row>23</xdr:row>
      <xdr:rowOff>100012</xdr:rowOff>
    </xdr:from>
    <xdr:to>
      <xdr:col>28</xdr:col>
      <xdr:colOff>400050</xdr:colOff>
      <xdr:row>25</xdr:row>
      <xdr:rowOff>85725</xdr:rowOff>
    </xdr:to>
    <xdr:sp macro="" textlink="">
      <xdr:nvSpPr>
        <xdr:cNvPr id="23" name="TextBox 22">
          <a:extLst>
            <a:ext uri="{FF2B5EF4-FFF2-40B4-BE49-F238E27FC236}">
              <a16:creationId xmlns:a16="http://schemas.microsoft.com/office/drawing/2014/main" id="{4CEFDD4E-4439-9E7A-8DE6-AE6BBEE15F94}"/>
            </a:ext>
          </a:extLst>
        </xdr:cNvPr>
        <xdr:cNvSpPr txBox="1"/>
      </xdr:nvSpPr>
      <xdr:spPr>
        <a:xfrm>
          <a:off x="15763875" y="4481512"/>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Contract</a:t>
          </a:r>
        </a:p>
      </xdr:txBody>
    </xdr:sp>
    <xdr:clientData/>
  </xdr:twoCellAnchor>
  <xdr:twoCellAnchor>
    <xdr:from>
      <xdr:col>25</xdr:col>
      <xdr:colOff>571500</xdr:colOff>
      <xdr:row>22</xdr:row>
      <xdr:rowOff>0</xdr:rowOff>
    </xdr:from>
    <xdr:to>
      <xdr:col>28</xdr:col>
      <xdr:colOff>447675</xdr:colOff>
      <xdr:row>23</xdr:row>
      <xdr:rowOff>104775</xdr:rowOff>
    </xdr:to>
    <xdr:sp macro="" textlink="analysis!L29">
      <xdr:nvSpPr>
        <xdr:cNvPr id="25" name="TextBox 24">
          <a:extLst>
            <a:ext uri="{FF2B5EF4-FFF2-40B4-BE49-F238E27FC236}">
              <a16:creationId xmlns:a16="http://schemas.microsoft.com/office/drawing/2014/main" id="{CFAA5513-701D-CC79-7A7A-FDCD73AE78D6}"/>
            </a:ext>
          </a:extLst>
        </xdr:cNvPr>
        <xdr:cNvSpPr txBox="1"/>
      </xdr:nvSpPr>
      <xdr:spPr>
        <a:xfrm>
          <a:off x="15811500" y="4191000"/>
          <a:ext cx="1704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BC5FAED-B395-4ECE-9036-9D663B073F46}" type="TxLink">
            <a:rPr lang="en-US" sz="1600" b="1">
              <a:solidFill>
                <a:schemeClr val="accent6">
                  <a:lumMod val="75000"/>
                </a:schemeClr>
              </a:solidFill>
              <a:latin typeface="Segoe UI Semibold" panose="020B0702040204020203" pitchFamily="34" charset="0"/>
              <a:ea typeface="+mn-ea"/>
              <a:cs typeface="Segoe UI Semibold" panose="020B0702040204020203" pitchFamily="34" charset="0"/>
            </a:rPr>
            <a:pPr marL="0" indent="0" algn="ctr"/>
            <a:t>21</a:t>
          </a:fld>
          <a:endParaRPr lang="en-IN" sz="1600" b="1">
            <a:solidFill>
              <a:schemeClr val="accent6">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25</xdr:col>
      <xdr:colOff>571500</xdr:colOff>
      <xdr:row>19</xdr:row>
      <xdr:rowOff>47625</xdr:rowOff>
    </xdr:from>
    <xdr:to>
      <xdr:col>28</xdr:col>
      <xdr:colOff>447675</xdr:colOff>
      <xdr:row>20</xdr:row>
      <xdr:rowOff>161925</xdr:rowOff>
    </xdr:to>
    <xdr:sp macro="" textlink="analysis!L30">
      <xdr:nvSpPr>
        <xdr:cNvPr id="27" name="TextBox 26">
          <a:extLst>
            <a:ext uri="{FF2B5EF4-FFF2-40B4-BE49-F238E27FC236}">
              <a16:creationId xmlns:a16="http://schemas.microsoft.com/office/drawing/2014/main" id="{2CDFF797-9E4C-734B-19ED-9BF77FEF9EA7}"/>
            </a:ext>
          </a:extLst>
        </xdr:cNvPr>
        <xdr:cNvSpPr txBox="1"/>
      </xdr:nvSpPr>
      <xdr:spPr>
        <a:xfrm>
          <a:off x="15811500" y="3667125"/>
          <a:ext cx="1704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3A36EB-AC0F-4165-B555-8806D90845D0}" type="TxLink">
            <a:rPr lang="en-US" sz="1600" b="1">
              <a:solidFill>
                <a:schemeClr val="tx2">
                  <a:lumMod val="75000"/>
                  <a:lumOff val="25000"/>
                </a:schemeClr>
              </a:solidFill>
              <a:latin typeface="Segoe UI Semibold" panose="020B0702040204020203" pitchFamily="34" charset="0"/>
              <a:ea typeface="+mn-ea"/>
              <a:cs typeface="Segoe UI Semibold" panose="020B0702040204020203" pitchFamily="34" charset="0"/>
            </a:rPr>
            <a:pPr marL="0" indent="0" algn="ctr"/>
            <a:t>43</a:t>
          </a:fld>
          <a:endParaRPr lang="en-IN" sz="1600" b="1">
            <a:solidFill>
              <a:schemeClr val="tx2">
                <a:lumMod val="75000"/>
                <a:lumOff val="2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25</xdr:col>
      <xdr:colOff>571500</xdr:colOff>
      <xdr:row>15</xdr:row>
      <xdr:rowOff>57150</xdr:rowOff>
    </xdr:from>
    <xdr:to>
      <xdr:col>28</xdr:col>
      <xdr:colOff>447675</xdr:colOff>
      <xdr:row>16</xdr:row>
      <xdr:rowOff>171450</xdr:rowOff>
    </xdr:to>
    <xdr:sp macro="" textlink="analysis!L31">
      <xdr:nvSpPr>
        <xdr:cNvPr id="29" name="TextBox 28">
          <a:extLst>
            <a:ext uri="{FF2B5EF4-FFF2-40B4-BE49-F238E27FC236}">
              <a16:creationId xmlns:a16="http://schemas.microsoft.com/office/drawing/2014/main" id="{DB3E4211-5E1F-F300-9093-0EED7C6E23C2}"/>
            </a:ext>
          </a:extLst>
        </xdr:cNvPr>
        <xdr:cNvSpPr txBox="1"/>
      </xdr:nvSpPr>
      <xdr:spPr>
        <a:xfrm>
          <a:off x="15811500" y="2914650"/>
          <a:ext cx="1704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4833CD-5B82-4549-BA27-8F07078746C6}" type="TxLink">
            <a:rPr lang="en-US" sz="1600" b="1">
              <a:solidFill>
                <a:schemeClr val="accent2">
                  <a:lumMod val="40000"/>
                  <a:lumOff val="60000"/>
                </a:schemeClr>
              </a:solidFill>
              <a:latin typeface="Segoe UI Semibold" panose="020B0702040204020203" pitchFamily="34" charset="0"/>
              <a:ea typeface="+mn-ea"/>
              <a:cs typeface="Segoe UI Semibold" panose="020B0702040204020203" pitchFamily="34" charset="0"/>
            </a:rPr>
            <a:pPr marL="0" indent="0" algn="ctr"/>
            <a:t>41</a:t>
          </a:fld>
          <a:endParaRPr lang="en-IN" sz="1600" b="1">
            <a:solidFill>
              <a:schemeClr val="accent2">
                <a:lumMod val="40000"/>
                <a:lumOff val="6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25</xdr:col>
      <xdr:colOff>542925</xdr:colOff>
      <xdr:row>24</xdr:row>
      <xdr:rowOff>100012</xdr:rowOff>
    </xdr:from>
    <xdr:to>
      <xdr:col>28</xdr:col>
      <xdr:colOff>419100</xdr:colOff>
      <xdr:row>26</xdr:row>
      <xdr:rowOff>85725</xdr:rowOff>
    </xdr:to>
    <xdr:sp macro="" textlink="analysis!L28">
      <xdr:nvSpPr>
        <xdr:cNvPr id="31" name="TextBox 30">
          <a:extLst>
            <a:ext uri="{FF2B5EF4-FFF2-40B4-BE49-F238E27FC236}">
              <a16:creationId xmlns:a16="http://schemas.microsoft.com/office/drawing/2014/main" id="{6DD999E8-C6F0-2252-670A-F65AEB44070C}"/>
            </a:ext>
          </a:extLst>
        </xdr:cNvPr>
        <xdr:cNvSpPr txBox="1"/>
      </xdr:nvSpPr>
      <xdr:spPr>
        <a:xfrm>
          <a:off x="15782925" y="4672012"/>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6521FC-DCAF-44C1-864F-AC8E95093E5C}" type="TxLink">
            <a:rPr lang="en-US" sz="1600" b="1">
              <a:solidFill>
                <a:schemeClr val="accent5">
                  <a:lumMod val="75000"/>
                </a:schemeClr>
              </a:solidFill>
              <a:latin typeface="Segoe UI Semibold" panose="020B0702040204020203" pitchFamily="34" charset="0"/>
              <a:ea typeface="+mn-ea"/>
              <a:cs typeface="Segoe UI Semibold" panose="020B0702040204020203" pitchFamily="34" charset="0"/>
            </a:rPr>
            <a:pPr marL="0" indent="0" algn="ctr"/>
            <a:t>13</a:t>
          </a:fld>
          <a:endParaRPr lang="en-IN" sz="1600" b="1">
            <a:solidFill>
              <a:schemeClr val="accent5">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3</xdr:col>
      <xdr:colOff>523874</xdr:colOff>
      <xdr:row>29</xdr:row>
      <xdr:rowOff>190499</xdr:rowOff>
    </xdr:from>
    <xdr:to>
      <xdr:col>9</xdr:col>
      <xdr:colOff>104775</xdr:colOff>
      <xdr:row>45</xdr:row>
      <xdr:rowOff>104774</xdr:rowOff>
    </xdr:to>
    <xdr:sp macro="" textlink="">
      <xdr:nvSpPr>
        <xdr:cNvPr id="47" name="Rectangle 46">
          <a:extLst>
            <a:ext uri="{FF2B5EF4-FFF2-40B4-BE49-F238E27FC236}">
              <a16:creationId xmlns:a16="http://schemas.microsoft.com/office/drawing/2014/main" id="{7C64D9DD-03DF-579C-061B-8F2DBA1536DC}"/>
            </a:ext>
          </a:extLst>
        </xdr:cNvPr>
        <xdr:cNvSpPr/>
      </xdr:nvSpPr>
      <xdr:spPr>
        <a:xfrm>
          <a:off x="2352674" y="5714999"/>
          <a:ext cx="3238501" cy="29622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161925</xdr:colOff>
      <xdr:row>12</xdr:row>
      <xdr:rowOff>90487</xdr:rowOff>
    </xdr:from>
    <xdr:to>
      <xdr:col>24</xdr:col>
      <xdr:colOff>38100</xdr:colOff>
      <xdr:row>14</xdr:row>
      <xdr:rowOff>152400</xdr:rowOff>
    </xdr:to>
    <xdr:sp macro="" textlink="">
      <xdr:nvSpPr>
        <xdr:cNvPr id="48" name="TextBox 47">
          <a:extLst>
            <a:ext uri="{FF2B5EF4-FFF2-40B4-BE49-F238E27FC236}">
              <a16:creationId xmlns:a16="http://schemas.microsoft.com/office/drawing/2014/main" id="{83A6959A-3D80-D10F-C82B-1F2E6F3F8EFE}"/>
            </a:ext>
          </a:extLst>
        </xdr:cNvPr>
        <xdr:cNvSpPr txBox="1"/>
      </xdr:nvSpPr>
      <xdr:spPr>
        <a:xfrm>
          <a:off x="12963525" y="2376487"/>
          <a:ext cx="1704975"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Job Level %</a:t>
          </a:r>
        </a:p>
      </xdr:txBody>
    </xdr:sp>
    <xdr:clientData/>
  </xdr:twoCellAnchor>
  <xdr:twoCellAnchor>
    <xdr:from>
      <xdr:col>5</xdr:col>
      <xdr:colOff>9525</xdr:colOff>
      <xdr:row>29</xdr:row>
      <xdr:rowOff>80962</xdr:rowOff>
    </xdr:from>
    <xdr:to>
      <xdr:col>8</xdr:col>
      <xdr:colOff>66675</xdr:colOff>
      <xdr:row>31</xdr:row>
      <xdr:rowOff>142875</xdr:rowOff>
    </xdr:to>
    <xdr:sp macro="" textlink="">
      <xdr:nvSpPr>
        <xdr:cNvPr id="49" name="TextBox 48">
          <a:extLst>
            <a:ext uri="{FF2B5EF4-FFF2-40B4-BE49-F238E27FC236}">
              <a16:creationId xmlns:a16="http://schemas.microsoft.com/office/drawing/2014/main" id="{DC2E66B9-505F-0CCC-930C-9594CFF7E34C}"/>
            </a:ext>
          </a:extLst>
        </xdr:cNvPr>
        <xdr:cNvSpPr txBox="1"/>
      </xdr:nvSpPr>
      <xdr:spPr>
        <a:xfrm>
          <a:off x="3057525" y="5605462"/>
          <a:ext cx="18859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Dept by HC%</a:t>
          </a:r>
        </a:p>
      </xdr:txBody>
    </xdr:sp>
    <xdr:clientData/>
  </xdr:twoCellAnchor>
  <xdr:twoCellAnchor>
    <xdr:from>
      <xdr:col>3</xdr:col>
      <xdr:colOff>495300</xdr:colOff>
      <xdr:row>31</xdr:row>
      <xdr:rowOff>180973</xdr:rowOff>
    </xdr:from>
    <xdr:to>
      <xdr:col>9</xdr:col>
      <xdr:colOff>76200</xdr:colOff>
      <xdr:row>45</xdr:row>
      <xdr:rowOff>47624</xdr:rowOff>
    </xdr:to>
    <xdr:graphicFrame macro="">
      <xdr:nvGraphicFramePr>
        <xdr:cNvPr id="50" name="Chart 49">
          <a:extLst>
            <a:ext uri="{FF2B5EF4-FFF2-40B4-BE49-F238E27FC236}">
              <a16:creationId xmlns:a16="http://schemas.microsoft.com/office/drawing/2014/main" id="{1B98DBF1-1DCC-49BD-A45C-15D11765F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228599</xdr:colOff>
      <xdr:row>29</xdr:row>
      <xdr:rowOff>180974</xdr:rowOff>
    </xdr:from>
    <xdr:to>
      <xdr:col>16</xdr:col>
      <xdr:colOff>152400</xdr:colOff>
      <xdr:row>45</xdr:row>
      <xdr:rowOff>95249</xdr:rowOff>
    </xdr:to>
    <xdr:sp macro="" textlink="">
      <xdr:nvSpPr>
        <xdr:cNvPr id="51" name="Rectangle 50">
          <a:extLst>
            <a:ext uri="{FF2B5EF4-FFF2-40B4-BE49-F238E27FC236}">
              <a16:creationId xmlns:a16="http://schemas.microsoft.com/office/drawing/2014/main" id="{2546A5AA-1A57-4D97-A5A9-AEB8A253AA6D}"/>
            </a:ext>
          </a:extLst>
        </xdr:cNvPr>
        <xdr:cNvSpPr/>
      </xdr:nvSpPr>
      <xdr:spPr>
        <a:xfrm>
          <a:off x="5714999" y="5705474"/>
          <a:ext cx="4191001" cy="29622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142875</xdr:colOff>
      <xdr:row>29</xdr:row>
      <xdr:rowOff>119062</xdr:rowOff>
    </xdr:from>
    <xdr:to>
      <xdr:col>14</xdr:col>
      <xdr:colOff>200025</xdr:colOff>
      <xdr:row>31</xdr:row>
      <xdr:rowOff>180975</xdr:rowOff>
    </xdr:to>
    <xdr:sp macro="" textlink="">
      <xdr:nvSpPr>
        <xdr:cNvPr id="52" name="TextBox 51">
          <a:extLst>
            <a:ext uri="{FF2B5EF4-FFF2-40B4-BE49-F238E27FC236}">
              <a16:creationId xmlns:a16="http://schemas.microsoft.com/office/drawing/2014/main" id="{2DC8090F-F7A3-CBD9-B423-7F6D6B8D2F88}"/>
            </a:ext>
          </a:extLst>
        </xdr:cNvPr>
        <xdr:cNvSpPr txBox="1"/>
      </xdr:nvSpPr>
      <xdr:spPr>
        <a:xfrm>
          <a:off x="6848475" y="5643562"/>
          <a:ext cx="18859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HC Reporting</a:t>
          </a:r>
        </a:p>
      </xdr:txBody>
    </xdr:sp>
    <xdr:clientData/>
  </xdr:twoCellAnchor>
  <xdr:twoCellAnchor>
    <xdr:from>
      <xdr:col>9</xdr:col>
      <xdr:colOff>304800</xdr:colOff>
      <xdr:row>31</xdr:row>
      <xdr:rowOff>19049</xdr:rowOff>
    </xdr:from>
    <xdr:to>
      <xdr:col>16</xdr:col>
      <xdr:colOff>76200</xdr:colOff>
      <xdr:row>45</xdr:row>
      <xdr:rowOff>47624</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38A8606C-560E-4613-9620-66DB374687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791200" y="5924549"/>
              <a:ext cx="4038600" cy="2695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295275</xdr:colOff>
      <xdr:row>29</xdr:row>
      <xdr:rowOff>180974</xdr:rowOff>
    </xdr:from>
    <xdr:to>
      <xdr:col>22</xdr:col>
      <xdr:colOff>457201</xdr:colOff>
      <xdr:row>45</xdr:row>
      <xdr:rowOff>95249</xdr:rowOff>
    </xdr:to>
    <xdr:sp macro="" textlink="">
      <xdr:nvSpPr>
        <xdr:cNvPr id="55" name="Rectangle 54">
          <a:extLst>
            <a:ext uri="{FF2B5EF4-FFF2-40B4-BE49-F238E27FC236}">
              <a16:creationId xmlns:a16="http://schemas.microsoft.com/office/drawing/2014/main" id="{54DE9FA6-7EDF-8125-B489-C1D68C96A907}"/>
            </a:ext>
          </a:extLst>
        </xdr:cNvPr>
        <xdr:cNvSpPr/>
      </xdr:nvSpPr>
      <xdr:spPr>
        <a:xfrm>
          <a:off x="10048875" y="5705474"/>
          <a:ext cx="3819526" cy="29622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333375</xdr:colOff>
      <xdr:row>31</xdr:row>
      <xdr:rowOff>114299</xdr:rowOff>
    </xdr:from>
    <xdr:to>
      <xdr:col>19</xdr:col>
      <xdr:colOff>571500</xdr:colOff>
      <xdr:row>45</xdr:row>
      <xdr:rowOff>47624</xdr:rowOff>
    </xdr:to>
    <xdr:graphicFrame macro="">
      <xdr:nvGraphicFramePr>
        <xdr:cNvPr id="54" name="Chart 53">
          <a:extLst>
            <a:ext uri="{FF2B5EF4-FFF2-40B4-BE49-F238E27FC236}">
              <a16:creationId xmlns:a16="http://schemas.microsoft.com/office/drawing/2014/main" id="{B8A0315B-E21B-4E8D-8735-8CCB68C01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419100</xdr:colOff>
      <xdr:row>29</xdr:row>
      <xdr:rowOff>119062</xdr:rowOff>
    </xdr:from>
    <xdr:to>
      <xdr:col>20</xdr:col>
      <xdr:colOff>476250</xdr:colOff>
      <xdr:row>31</xdr:row>
      <xdr:rowOff>180975</xdr:rowOff>
    </xdr:to>
    <xdr:sp macro="" textlink="">
      <xdr:nvSpPr>
        <xdr:cNvPr id="56" name="TextBox 55">
          <a:extLst>
            <a:ext uri="{FF2B5EF4-FFF2-40B4-BE49-F238E27FC236}">
              <a16:creationId xmlns:a16="http://schemas.microsoft.com/office/drawing/2014/main" id="{402A073D-F09D-B68B-1D70-EC542A919036}"/>
            </a:ext>
          </a:extLst>
        </xdr:cNvPr>
        <xdr:cNvSpPr txBox="1"/>
      </xdr:nvSpPr>
      <xdr:spPr>
        <a:xfrm>
          <a:off x="10782300" y="5643562"/>
          <a:ext cx="18859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Emp</a:t>
          </a:r>
          <a:r>
            <a:rPr lang="en-IN" sz="2000" b="1" baseline="0">
              <a:latin typeface="Segoe UI Semibold" panose="020B0702040204020203" pitchFamily="34" charset="0"/>
              <a:cs typeface="Segoe UI Semibold" panose="020B0702040204020203" pitchFamily="34" charset="0"/>
            </a:rPr>
            <a:t> Type %</a:t>
          </a:r>
          <a:endParaRPr lang="en-IN" sz="2000" b="1">
            <a:latin typeface="Segoe UI Semibold" panose="020B0702040204020203" pitchFamily="34" charset="0"/>
            <a:cs typeface="Segoe UI Semibold" panose="020B0702040204020203" pitchFamily="34" charset="0"/>
          </a:endParaRPr>
        </a:p>
      </xdr:txBody>
    </xdr:sp>
    <xdr:clientData/>
  </xdr:twoCellAnchor>
  <xdr:twoCellAnchor editAs="oneCell">
    <xdr:from>
      <xdr:col>19</xdr:col>
      <xdr:colOff>414337</xdr:colOff>
      <xdr:row>33</xdr:row>
      <xdr:rowOff>66675</xdr:rowOff>
    </xdr:from>
    <xdr:to>
      <xdr:col>20</xdr:col>
      <xdr:colOff>509587</xdr:colOff>
      <xdr:row>37</xdr:row>
      <xdr:rowOff>9525</xdr:rowOff>
    </xdr:to>
    <xdr:pic>
      <xdr:nvPicPr>
        <xdr:cNvPr id="58" name="Graphic 57" descr="Office worker male with solid fill">
          <a:extLst>
            <a:ext uri="{FF2B5EF4-FFF2-40B4-BE49-F238E27FC236}">
              <a16:creationId xmlns:a16="http://schemas.microsoft.com/office/drawing/2014/main" id="{BE90392C-F9DD-BC97-2CF7-35FF7470CD7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996737" y="6353175"/>
          <a:ext cx="704850" cy="704850"/>
        </a:xfrm>
        <a:prstGeom prst="rect">
          <a:avLst/>
        </a:prstGeom>
      </xdr:spPr>
    </xdr:pic>
    <xdr:clientData/>
  </xdr:twoCellAnchor>
  <xdr:twoCellAnchor editAs="oneCell">
    <xdr:from>
      <xdr:col>19</xdr:col>
      <xdr:colOff>414337</xdr:colOff>
      <xdr:row>37</xdr:row>
      <xdr:rowOff>142875</xdr:rowOff>
    </xdr:from>
    <xdr:to>
      <xdr:col>20</xdr:col>
      <xdr:colOff>509587</xdr:colOff>
      <xdr:row>41</xdr:row>
      <xdr:rowOff>85725</xdr:rowOff>
    </xdr:to>
    <xdr:pic>
      <xdr:nvPicPr>
        <xdr:cNvPr id="59" name="Graphic 58" descr="Office worker male with solid fill">
          <a:extLst>
            <a:ext uri="{FF2B5EF4-FFF2-40B4-BE49-F238E27FC236}">
              <a16:creationId xmlns:a16="http://schemas.microsoft.com/office/drawing/2014/main" id="{79735AD0-0741-1B3A-0275-99601230A65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996737" y="7191375"/>
          <a:ext cx="704850" cy="704850"/>
        </a:xfrm>
        <a:prstGeom prst="rect">
          <a:avLst/>
        </a:prstGeom>
      </xdr:spPr>
    </xdr:pic>
    <xdr:clientData/>
  </xdr:twoCellAnchor>
  <xdr:twoCellAnchor>
    <xdr:from>
      <xdr:col>20</xdr:col>
      <xdr:colOff>266700</xdr:colOff>
      <xdr:row>34</xdr:row>
      <xdr:rowOff>176212</xdr:rowOff>
    </xdr:from>
    <xdr:to>
      <xdr:col>23</xdr:col>
      <xdr:colOff>142875</xdr:colOff>
      <xdr:row>36</xdr:row>
      <xdr:rowOff>161925</xdr:rowOff>
    </xdr:to>
    <xdr:sp macro="" textlink="">
      <xdr:nvSpPr>
        <xdr:cNvPr id="61" name="TextBox 60">
          <a:extLst>
            <a:ext uri="{FF2B5EF4-FFF2-40B4-BE49-F238E27FC236}">
              <a16:creationId xmlns:a16="http://schemas.microsoft.com/office/drawing/2014/main" id="{EE740D62-BDEB-FEA9-C8EA-47DE2A2C73A9}"/>
            </a:ext>
          </a:extLst>
        </xdr:cNvPr>
        <xdr:cNvSpPr txBox="1"/>
      </xdr:nvSpPr>
      <xdr:spPr>
        <a:xfrm>
          <a:off x="12458700" y="6653212"/>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Permanent</a:t>
          </a:r>
        </a:p>
      </xdr:txBody>
    </xdr:sp>
    <xdr:clientData/>
  </xdr:twoCellAnchor>
  <xdr:twoCellAnchor>
    <xdr:from>
      <xdr:col>20</xdr:col>
      <xdr:colOff>285750</xdr:colOff>
      <xdr:row>39</xdr:row>
      <xdr:rowOff>4762</xdr:rowOff>
    </xdr:from>
    <xdr:to>
      <xdr:col>23</xdr:col>
      <xdr:colOff>161925</xdr:colOff>
      <xdr:row>40</xdr:row>
      <xdr:rowOff>180975</xdr:rowOff>
    </xdr:to>
    <xdr:sp macro="" textlink="">
      <xdr:nvSpPr>
        <xdr:cNvPr id="62" name="TextBox 61">
          <a:extLst>
            <a:ext uri="{FF2B5EF4-FFF2-40B4-BE49-F238E27FC236}">
              <a16:creationId xmlns:a16="http://schemas.microsoft.com/office/drawing/2014/main" id="{BECD811D-3EF9-477F-212B-0A806BDCF4E6}"/>
            </a:ext>
          </a:extLst>
        </xdr:cNvPr>
        <xdr:cNvSpPr txBox="1"/>
      </xdr:nvSpPr>
      <xdr:spPr>
        <a:xfrm>
          <a:off x="12477750" y="7434262"/>
          <a:ext cx="1704975"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65000"/>
                </a:schemeClr>
              </a:solidFill>
              <a:latin typeface="Segoe UI Semibold" panose="020B0702040204020203" pitchFamily="34" charset="0"/>
              <a:cs typeface="Segoe UI Semibold" panose="020B0702040204020203" pitchFamily="34" charset="0"/>
            </a:rPr>
            <a:t>Contract</a:t>
          </a:r>
        </a:p>
      </xdr:txBody>
    </xdr:sp>
    <xdr:clientData/>
  </xdr:twoCellAnchor>
  <xdr:twoCellAnchor>
    <xdr:from>
      <xdr:col>21</xdr:col>
      <xdr:colOff>171450</xdr:colOff>
      <xdr:row>37</xdr:row>
      <xdr:rowOff>123825</xdr:rowOff>
    </xdr:from>
    <xdr:to>
      <xdr:col>22</xdr:col>
      <xdr:colOff>238125</xdr:colOff>
      <xdr:row>39</xdr:row>
      <xdr:rowOff>161925</xdr:rowOff>
    </xdr:to>
    <xdr:sp macro="" textlink="analysis!$O$19">
      <xdr:nvSpPr>
        <xdr:cNvPr id="64" name="TextBox 63">
          <a:extLst>
            <a:ext uri="{FF2B5EF4-FFF2-40B4-BE49-F238E27FC236}">
              <a16:creationId xmlns:a16="http://schemas.microsoft.com/office/drawing/2014/main" id="{8BB7B657-89D4-4A57-CE3F-54565C3E649B}"/>
            </a:ext>
          </a:extLst>
        </xdr:cNvPr>
        <xdr:cNvSpPr txBox="1"/>
      </xdr:nvSpPr>
      <xdr:spPr>
        <a:xfrm>
          <a:off x="12973050" y="7172325"/>
          <a:ext cx="6762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B0A2CC5-08CB-4A11-A0B2-9E3860A721F8}" type="TxLink">
            <a:rPr lang="en-US" sz="2000" b="1" i="0" u="none" strike="noStrike">
              <a:solidFill>
                <a:schemeClr val="accent3">
                  <a:lumMod val="60000"/>
                  <a:lumOff val="40000"/>
                </a:schemeClr>
              </a:solidFill>
              <a:latin typeface="Aptos Narrow"/>
              <a:ea typeface="+mn-ea"/>
              <a:cs typeface="Segoe UI Semibold" panose="020B0702040204020203" pitchFamily="34" charset="0"/>
            </a:rPr>
            <a:pPr marL="0" indent="0" algn="ctr"/>
            <a:t>13</a:t>
          </a:fld>
          <a:endParaRPr lang="en-IN" sz="3200" b="1">
            <a:solidFill>
              <a:schemeClr val="accent3">
                <a:lumMod val="60000"/>
                <a:lumOff val="4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21</xdr:col>
      <xdr:colOff>142875</xdr:colOff>
      <xdr:row>33</xdr:row>
      <xdr:rowOff>104775</xdr:rowOff>
    </xdr:from>
    <xdr:to>
      <xdr:col>22</xdr:col>
      <xdr:colOff>209550</xdr:colOff>
      <xdr:row>35</xdr:row>
      <xdr:rowOff>142875</xdr:rowOff>
    </xdr:to>
    <xdr:sp macro="" textlink="analysis!$P$19">
      <xdr:nvSpPr>
        <xdr:cNvPr id="65" name="TextBox 64">
          <a:extLst>
            <a:ext uri="{FF2B5EF4-FFF2-40B4-BE49-F238E27FC236}">
              <a16:creationId xmlns:a16="http://schemas.microsoft.com/office/drawing/2014/main" id="{B914D7A6-25C7-A32E-E5F3-CA4F851E6AAB}"/>
            </a:ext>
          </a:extLst>
        </xdr:cNvPr>
        <xdr:cNvSpPr txBox="1"/>
      </xdr:nvSpPr>
      <xdr:spPr>
        <a:xfrm>
          <a:off x="12944475" y="6391275"/>
          <a:ext cx="6762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AFB7D3A-BBEB-4E03-AB5A-D32D07221FAB}" type="TxLink">
            <a:rPr lang="en-US" sz="2000" b="1" i="0" u="none" strike="noStrike">
              <a:solidFill>
                <a:schemeClr val="accent2">
                  <a:lumMod val="60000"/>
                  <a:lumOff val="40000"/>
                </a:schemeClr>
              </a:solidFill>
              <a:latin typeface="Aptos Narrow"/>
              <a:ea typeface="+mn-ea"/>
              <a:cs typeface="Segoe UI Semibold" panose="020B0702040204020203" pitchFamily="34" charset="0"/>
            </a:rPr>
            <a:pPr marL="0" indent="0" algn="ctr"/>
            <a:t>105</a:t>
          </a:fld>
          <a:endParaRPr lang="en-IN" sz="3200" b="1">
            <a:solidFill>
              <a:schemeClr val="accent2">
                <a:lumMod val="60000"/>
                <a:lumOff val="4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23</xdr:col>
      <xdr:colOff>28575</xdr:colOff>
      <xdr:row>29</xdr:row>
      <xdr:rowOff>180974</xdr:rowOff>
    </xdr:from>
    <xdr:to>
      <xdr:col>28</xdr:col>
      <xdr:colOff>571501</xdr:colOff>
      <xdr:row>45</xdr:row>
      <xdr:rowOff>95249</xdr:rowOff>
    </xdr:to>
    <xdr:sp macro="" textlink="">
      <xdr:nvSpPr>
        <xdr:cNvPr id="66" name="Rectangle 65">
          <a:extLst>
            <a:ext uri="{FF2B5EF4-FFF2-40B4-BE49-F238E27FC236}">
              <a16:creationId xmlns:a16="http://schemas.microsoft.com/office/drawing/2014/main" id="{2D4A8FFE-74D7-84B6-DC3A-1E6323DE956D}"/>
            </a:ext>
          </a:extLst>
        </xdr:cNvPr>
        <xdr:cNvSpPr/>
      </xdr:nvSpPr>
      <xdr:spPr>
        <a:xfrm>
          <a:off x="14049375" y="5705474"/>
          <a:ext cx="3590926" cy="29622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57150</xdr:colOff>
      <xdr:row>30</xdr:row>
      <xdr:rowOff>161925</xdr:rowOff>
    </xdr:from>
    <xdr:to>
      <xdr:col>28</xdr:col>
      <xdr:colOff>495300</xdr:colOff>
      <xdr:row>45</xdr:row>
      <xdr:rowOff>47625</xdr:rowOff>
    </xdr:to>
    <xdr:graphicFrame macro="">
      <xdr:nvGraphicFramePr>
        <xdr:cNvPr id="67" name="Chart 66">
          <a:extLst>
            <a:ext uri="{FF2B5EF4-FFF2-40B4-BE49-F238E27FC236}">
              <a16:creationId xmlns:a16="http://schemas.microsoft.com/office/drawing/2014/main" id="{5B4BBD7C-0979-4F99-B1A7-84DEA7E63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24</xdr:col>
      <xdr:colOff>314325</xdr:colOff>
      <xdr:row>29</xdr:row>
      <xdr:rowOff>100012</xdr:rowOff>
    </xdr:from>
    <xdr:to>
      <xdr:col>27</xdr:col>
      <xdr:colOff>371475</xdr:colOff>
      <xdr:row>31</xdr:row>
      <xdr:rowOff>161925</xdr:rowOff>
    </xdr:to>
    <xdr:sp macro="" textlink="">
      <xdr:nvSpPr>
        <xdr:cNvPr id="68" name="TextBox 67">
          <a:extLst>
            <a:ext uri="{FF2B5EF4-FFF2-40B4-BE49-F238E27FC236}">
              <a16:creationId xmlns:a16="http://schemas.microsoft.com/office/drawing/2014/main" id="{2E33EF6B-FC82-C406-9EE9-FBC822D78DE0}"/>
            </a:ext>
          </a:extLst>
        </xdr:cNvPr>
        <xdr:cNvSpPr txBox="1"/>
      </xdr:nvSpPr>
      <xdr:spPr>
        <a:xfrm>
          <a:off x="14944725" y="5624512"/>
          <a:ext cx="1885950" cy="44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Segoe UI Semibold" panose="020B0702040204020203" pitchFamily="34" charset="0"/>
              <a:cs typeface="Segoe UI Semibold" panose="020B0702040204020203" pitchFamily="34" charset="0"/>
            </a:rPr>
            <a:t>Stability </a:t>
          </a:r>
          <a:r>
            <a:rPr lang="en-IN" sz="2000" b="1" baseline="0">
              <a:latin typeface="Segoe UI Semibold" panose="020B0702040204020203" pitchFamily="34" charset="0"/>
              <a:cs typeface="Segoe UI Semibold" panose="020B0702040204020203" pitchFamily="34" charset="0"/>
            </a:rPr>
            <a:t>%</a:t>
          </a:r>
          <a:endParaRPr lang="en-IN" sz="2000" b="1">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161924</xdr:colOff>
      <xdr:row>6</xdr:row>
      <xdr:rowOff>180975</xdr:rowOff>
    </xdr:from>
    <xdr:to>
      <xdr:col>3</xdr:col>
      <xdr:colOff>323849</xdr:colOff>
      <xdr:row>23</xdr:row>
      <xdr:rowOff>57150</xdr:rowOff>
    </xdr:to>
    <mc:AlternateContent xmlns:mc="http://schemas.openxmlformats.org/markup-compatibility/2006">
      <mc:Choice xmlns:a14="http://schemas.microsoft.com/office/drawing/2010/main" Requires="a14">
        <xdr:graphicFrame macro="">
          <xdr:nvGraphicFramePr>
            <xdr:cNvPr id="69" name="Department">
              <a:extLst>
                <a:ext uri="{FF2B5EF4-FFF2-40B4-BE49-F238E27FC236}">
                  <a16:creationId xmlns:a16="http://schemas.microsoft.com/office/drawing/2014/main" id="{812F50FD-351B-4B4A-B902-FB412280EC5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924" y="1323975"/>
              <a:ext cx="1990725" cy="311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25</xdr:row>
      <xdr:rowOff>66674</xdr:rowOff>
    </xdr:from>
    <xdr:to>
      <xdr:col>3</xdr:col>
      <xdr:colOff>333375</xdr:colOff>
      <xdr:row>45</xdr:row>
      <xdr:rowOff>114299</xdr:rowOff>
    </xdr:to>
    <mc:AlternateContent xmlns:mc="http://schemas.openxmlformats.org/markup-compatibility/2006">
      <mc:Choice xmlns:a14="http://schemas.microsoft.com/office/drawing/2010/main" Requires="a14">
        <xdr:graphicFrame macro="">
          <xdr:nvGraphicFramePr>
            <xdr:cNvPr id="70" name="Reporting Manager">
              <a:extLst>
                <a:ext uri="{FF2B5EF4-FFF2-40B4-BE49-F238E27FC236}">
                  <a16:creationId xmlns:a16="http://schemas.microsoft.com/office/drawing/2014/main" id="{33D7C46F-CE06-461A-A9C2-F6D7A545AB6D}"/>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dr:sp macro="" textlink="">
          <xdr:nvSpPr>
            <xdr:cNvPr id="0" name=""/>
            <xdr:cNvSpPr>
              <a:spLocks noTextEdit="1"/>
            </xdr:cNvSpPr>
          </xdr:nvSpPr>
          <xdr:spPr>
            <a:xfrm>
              <a:off x="161925" y="4829174"/>
              <a:ext cx="2000250" cy="385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523875</xdr:colOff>
      <xdr:row>0</xdr:row>
      <xdr:rowOff>76200</xdr:rowOff>
    </xdr:from>
    <xdr:to>
      <xdr:col>28</xdr:col>
      <xdr:colOff>523874</xdr:colOff>
      <xdr:row>6</xdr:row>
      <xdr:rowOff>38100</xdr:rowOff>
    </xdr:to>
    <xdr:sp macro="" textlink="">
      <xdr:nvSpPr>
        <xdr:cNvPr id="71" name="TextBox 70">
          <a:extLst>
            <a:ext uri="{FF2B5EF4-FFF2-40B4-BE49-F238E27FC236}">
              <a16:creationId xmlns:a16="http://schemas.microsoft.com/office/drawing/2014/main" id="{5211A602-4A57-3DAD-D884-56AD012CC38E}"/>
            </a:ext>
          </a:extLst>
        </xdr:cNvPr>
        <xdr:cNvSpPr txBox="1"/>
      </xdr:nvSpPr>
      <xdr:spPr>
        <a:xfrm>
          <a:off x="2352675" y="76200"/>
          <a:ext cx="15239999"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600" b="1">
              <a:solidFill>
                <a:schemeClr val="bg1"/>
              </a:solidFill>
              <a:latin typeface="Arial Rounded MT Bold" panose="020F0704030504030204" pitchFamily="34" charset="0"/>
              <a:cs typeface="Segoe UI Semibold" panose="020B0702040204020203" pitchFamily="34" charset="0"/>
            </a:rPr>
            <a:t>HR</a:t>
          </a:r>
          <a:r>
            <a:rPr lang="en-IN" sz="6600" b="1" baseline="0">
              <a:solidFill>
                <a:schemeClr val="bg1"/>
              </a:solidFill>
              <a:latin typeface="Arial Rounded MT Bold" panose="020F0704030504030204" pitchFamily="34" charset="0"/>
              <a:cs typeface="Segoe UI Semibold" panose="020B0702040204020203" pitchFamily="34" charset="0"/>
            </a:rPr>
            <a:t> ANALYTICS TEAM DASHBOARD</a:t>
          </a:r>
          <a:endParaRPr lang="en-IN" sz="6600" b="1">
            <a:solidFill>
              <a:schemeClr val="bg1"/>
            </a:solidFill>
            <a:latin typeface="Arial Rounded MT Bold" panose="020F0704030504030204" pitchFamily="34" charset="0"/>
            <a:cs typeface="Segoe UI Semibold" panose="020B0702040204020203" pitchFamily="34" charset="0"/>
          </a:endParaRPr>
        </a:p>
      </xdr:txBody>
    </xdr:sp>
    <xdr:clientData/>
  </xdr:twoCellAnchor>
  <xdr:twoCellAnchor editAs="oneCell">
    <xdr:from>
      <xdr:col>0</xdr:col>
      <xdr:colOff>66675</xdr:colOff>
      <xdr:row>1</xdr:row>
      <xdr:rowOff>9525</xdr:rowOff>
    </xdr:from>
    <xdr:to>
      <xdr:col>1</xdr:col>
      <xdr:colOff>371475</xdr:colOff>
      <xdr:row>5</xdr:row>
      <xdr:rowOff>161925</xdr:rowOff>
    </xdr:to>
    <xdr:pic>
      <xdr:nvPicPr>
        <xdr:cNvPr id="73" name="Graphic 72" descr="Paisleys with solid fill">
          <a:extLst>
            <a:ext uri="{FF2B5EF4-FFF2-40B4-BE49-F238E27FC236}">
              <a16:creationId xmlns:a16="http://schemas.microsoft.com/office/drawing/2014/main" id="{8A685179-7C9F-3D68-0DD0-F7B816112EC1}"/>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6675" y="200025"/>
          <a:ext cx="914400" cy="914400"/>
        </a:xfrm>
        <a:prstGeom prst="rect">
          <a:avLst/>
        </a:prstGeom>
      </xdr:spPr>
    </xdr:pic>
    <xdr:clientData/>
  </xdr:twoCellAnchor>
  <xdr:twoCellAnchor>
    <xdr:from>
      <xdr:col>0</xdr:col>
      <xdr:colOff>581025</xdr:colOff>
      <xdr:row>1</xdr:row>
      <xdr:rowOff>4761</xdr:rowOff>
    </xdr:from>
    <xdr:to>
      <xdr:col>4</xdr:col>
      <xdr:colOff>104775</xdr:colOff>
      <xdr:row>6</xdr:row>
      <xdr:rowOff>28575</xdr:rowOff>
    </xdr:to>
    <xdr:sp macro="" textlink="">
      <xdr:nvSpPr>
        <xdr:cNvPr id="74" name="TextBox 73">
          <a:extLst>
            <a:ext uri="{FF2B5EF4-FFF2-40B4-BE49-F238E27FC236}">
              <a16:creationId xmlns:a16="http://schemas.microsoft.com/office/drawing/2014/main" id="{72B34292-F19C-0E82-2BF7-A5A5D5DFB1BB}"/>
            </a:ext>
          </a:extLst>
        </xdr:cNvPr>
        <xdr:cNvSpPr txBox="1"/>
      </xdr:nvSpPr>
      <xdr:spPr>
        <a:xfrm>
          <a:off x="581025" y="195261"/>
          <a:ext cx="1962150" cy="976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latin typeface="Segoe UI Semibold" panose="020B0702040204020203" pitchFamily="34" charset="0"/>
              <a:cs typeface="Segoe UI Semibold" panose="020B0702040204020203" pitchFamily="34" charset="0"/>
            </a:rPr>
            <a:t>KABIR</a:t>
          </a:r>
        </a:p>
        <a:p>
          <a:pPr algn="ctr"/>
          <a:r>
            <a:rPr lang="en-IN" sz="2400" b="1">
              <a:solidFill>
                <a:schemeClr val="bg1"/>
              </a:solidFill>
              <a:latin typeface="Segoe UI Semibold" panose="020B0702040204020203" pitchFamily="34" charset="0"/>
              <a:cs typeface="Segoe UI Semibold" panose="020B0702040204020203" pitchFamily="34" charset="0"/>
            </a:rPr>
            <a:t>DESIGNS</a:t>
          </a:r>
        </a:p>
      </xdr:txBody>
    </xdr:sp>
    <xdr:clientData/>
  </xdr:twoCellAnchor>
  <xdr:twoCellAnchor>
    <xdr:from>
      <xdr:col>0</xdr:col>
      <xdr:colOff>142874</xdr:colOff>
      <xdr:row>23</xdr:row>
      <xdr:rowOff>66675</xdr:rowOff>
    </xdr:from>
    <xdr:to>
      <xdr:col>3</xdr:col>
      <xdr:colOff>361949</xdr:colOff>
      <xdr:row>25</xdr:row>
      <xdr:rowOff>47625</xdr:rowOff>
    </xdr:to>
    <xdr:sp macro="" textlink="">
      <xdr:nvSpPr>
        <xdr:cNvPr id="60" name="Rectangle 59">
          <a:extLst>
            <a:ext uri="{FF2B5EF4-FFF2-40B4-BE49-F238E27FC236}">
              <a16:creationId xmlns:a16="http://schemas.microsoft.com/office/drawing/2014/main" id="{26D53195-2D55-B73F-E5A4-C13F8B7FC79B}"/>
            </a:ext>
          </a:extLst>
        </xdr:cNvPr>
        <xdr:cNvSpPr/>
      </xdr:nvSpPr>
      <xdr:spPr>
        <a:xfrm>
          <a:off x="142874" y="4448175"/>
          <a:ext cx="2047875" cy="36195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190501</xdr:colOff>
      <xdr:row>23</xdr:row>
      <xdr:rowOff>123824</xdr:rowOff>
    </xdr:from>
    <xdr:to>
      <xdr:col>3</xdr:col>
      <xdr:colOff>304801</xdr:colOff>
      <xdr:row>25</xdr:row>
      <xdr:rowOff>66675</xdr:rowOff>
    </xdr:to>
    <xdr:sp macro="" textlink="">
      <xdr:nvSpPr>
        <xdr:cNvPr id="57" name="TextBox 56">
          <a:extLst>
            <a:ext uri="{FF2B5EF4-FFF2-40B4-BE49-F238E27FC236}">
              <a16:creationId xmlns:a16="http://schemas.microsoft.com/office/drawing/2014/main" id="{EB2BB877-F3A5-5715-0832-1439DDFAE45E}"/>
            </a:ext>
          </a:extLst>
        </xdr:cNvPr>
        <xdr:cNvSpPr txBox="1"/>
      </xdr:nvSpPr>
      <xdr:spPr>
        <a:xfrm>
          <a:off x="190501" y="4505324"/>
          <a:ext cx="19431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chemeClr val="accent2">
                  <a:lumMod val="20000"/>
                  <a:lumOff val="80000"/>
                </a:schemeClr>
              </a:solidFill>
              <a:latin typeface="Segoe UI Semibold" panose="020B0702040204020203" pitchFamily="34" charset="0"/>
              <a:cs typeface="Segoe UI Semibold" panose="020B0702040204020203" pitchFamily="34" charset="0"/>
            </a:rPr>
            <a:t>Developed</a:t>
          </a:r>
          <a:r>
            <a:rPr lang="en-IN" sz="1400" b="1" baseline="0">
              <a:solidFill>
                <a:schemeClr val="accent2">
                  <a:lumMod val="20000"/>
                  <a:lumOff val="80000"/>
                </a:schemeClr>
              </a:solidFill>
              <a:latin typeface="Segoe UI Semibold" panose="020B0702040204020203" pitchFamily="34" charset="0"/>
              <a:cs typeface="Segoe UI Semibold" panose="020B0702040204020203" pitchFamily="34" charset="0"/>
            </a:rPr>
            <a:t> By:- Bharat</a:t>
          </a:r>
          <a:endParaRPr lang="en-IN" sz="1400" b="1">
            <a:solidFill>
              <a:schemeClr val="accent2">
                <a:lumMod val="20000"/>
                <a:lumOff val="80000"/>
              </a:schemeClr>
            </a:solidFill>
            <a:latin typeface="Segoe UI Semibold" panose="020B0702040204020203" pitchFamily="34" charset="0"/>
            <a:cs typeface="Segoe UI Semibold" panose="020B07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461504629631" backgroundQuery="1" createdVersion="8" refreshedVersion="8" minRefreshableVersion="3" recordCount="0" supportSubquery="1" supportAdvancedDrill="1" xr:uid="{E903BB64-33D9-43A7-8165-AAD2AC2CCCFA}">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Department].[Department]" caption="Department" numFmtId="0" hierarchy="12" level="1">
      <sharedItems count="7">
        <s v="Accounting"/>
        <s v="Finance"/>
        <s v="HR"/>
        <s v="Legal"/>
        <s v="Marketing"/>
        <s v="Operations"/>
        <s v="Sales"/>
      </sharedItems>
    </cacheField>
    <cacheField name="[Sheet1].[Reporting Manager].[Reporting Manager]" caption="Reporting Manager" numFmtId="0" hierarchy="6"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fieldsUsage count="2">
        <fieldUsage x="-1"/>
        <fieldUsage x="3"/>
      </fieldsUsage>
    </cacheHierarchy>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2"/>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5486111" backgroundQuery="1" createdVersion="8" refreshedVersion="8" minRefreshableVersion="3" recordCount="0" supportSubquery="1" supportAdvancedDrill="1" xr:uid="{02C8DBBB-005D-43F6-A31D-4237D9927A8E}">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stability].[stability]" caption="stability" numFmtId="0" hierarchy="14" level="1">
      <sharedItems count="6">
        <s v="&lt;1 years"/>
        <s v="1+ years"/>
        <s v="2+ years"/>
        <s v="3+ years"/>
        <s v="4+ years"/>
        <s v="5+ years"/>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2" memberValueDatatype="130" unbalanced="0"/>
    <cacheHierarchy uniqueName="[Sheet1].[Emp Id]" caption="Emp Id" attribute="1" defaultMemberUniqueName="[Sheet1].[Emp Id].[All]" allUniqueName="[Sheet1].[Emp Id].[All]" dimensionUniqueName="[Sheet1]" displayFolder="" count="2" memberValueDatatype="130" unbalanced="0"/>
    <cacheHierarchy uniqueName="[Sheet1].[Name]" caption="Name" attribute="1" defaultMemberUniqueName="[Sheet1].[Name].[All]" allUniqueName="[Sheet1].[Name].[All]" dimensionUniqueName="[Sheet1]" displayFolder="" count="2" memberValueDatatype="130" unbalanced="0"/>
    <cacheHierarchy uniqueName="[Sheet1].[Date of Joining]" caption="Date of Joining" attribute="1" time="1" defaultMemberUniqueName="[Sheet1].[Date of Joining].[All]" allUniqueName="[Sheet1].[Date of Joining].[All]" dimensionUniqueName="[Sheet1]" displayFolder="" count="2" memberValueDatatype="7" unbalanced="0"/>
    <cacheHierarchy uniqueName="[Sheet1].[Data of Relieving]" caption="Data of Relieving" attribute="1" time="1" defaultMemberUniqueName="[Sheet1].[Data of Relieving].[All]" allUniqueName="[Sheet1].[Data of Relieving].[All]" dimensionUniqueName="[Sheet1]" displayFolder="" count="2"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2" memberValueDatatype="7" unbalanced="0"/>
    <cacheHierarchy uniqueName="[Sheet1].[Marital status]" caption="Marital status" attribute="1" defaultMemberUniqueName="[Sheet1].[Marital status].[All]" allUniqueName="[Sheet1].[Marital status].[All]" dimensionUniqueName="[Sheet1]" displayFolder="" count="2" memberValueDatatype="130" unbalanced="0"/>
    <cacheHierarchy uniqueName="[Sheet1].[Grade]" caption="Grade" attribute="1" defaultMemberUniqueName="[Sheet1].[Grade].[All]" allUniqueName="[Sheet1].[Grad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2" memberValueDatatype="5" unbalanced="0"/>
    <cacheHierarchy uniqueName="[Sheet1].[stability]" caption="stability" attribute="1" defaultMemberUniqueName="[Sheet1].[stability].[All]" allUniqueName="[Sheet1].[stability].[All]" dimensionUniqueName="[Sheet1]" displayFolder="" count="2" memberValueDatatype="130" unbalanced="0">
      <fieldsUsage count="2">
        <fieldUsage x="-1"/>
        <fieldUsage x="2"/>
      </fieldsUsage>
    </cacheHierarchy>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5949072" backgroundQuery="1" createdVersion="8" refreshedVersion="8" minRefreshableVersion="3" recordCount="0" supportSubquery="1" supportAdvancedDrill="1" xr:uid="{A1CBF326-7F4D-4463-AAAE-75ADBE49E1EF}">
  <cacheSource type="external" connectionId="3"/>
  <cacheFields count="4">
    <cacheField name="[Sheet1].[Year].[Year]" caption="Year" numFmtId="0" hierarchy="15"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Sheet1].[Year].&amp;[2020]"/>
            <x15:cachedUniqueName index="1" name="[Sheet1].[Year].&amp;[2021]"/>
            <x15:cachedUniqueName index="2" name="[Sheet1].[Year].&amp;[2022]"/>
            <x15:cachedUniqueName index="3" name="[Sheet1].[Year].&amp;[2023]"/>
            <x15:cachedUniqueName index="4" name="[Sheet1].[Year].&amp;[2024]"/>
            <x15:cachedUniqueName index="5" name="[Sheet1].[Year].&amp;[2025]"/>
          </x15:cachedUniqueNames>
        </ext>
      </extLst>
    </cacheField>
    <cacheField name="[Measures].[Count of Name]" caption="Count of Name" numFmtId="0" hierarchy="16" level="32767"/>
    <cacheField name="[Sheet1].[Emp Status].[Emp Status]" caption="Emp Status" numFmtId="0" level="1">
      <sharedItems count="3">
        <s v="Attrition"/>
        <s v="On-Board"/>
        <s v="Transfer"/>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2"/>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fieldsUsage count="2">
        <fieldUsage x="-1"/>
        <fieldUsage x="0"/>
      </fieldsUsage>
    </cacheHierarchy>
    <cacheHierarchy uniqueName="[Measures].[Count of Name]" caption="Count of Name" measure="1" displayFolder="" measureGroup="Sheet1" count="0" oneField="1">
      <fieldsUsage count="1">
        <fieldUsage x="1"/>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6296296" backgroundQuery="1" createdVersion="8" refreshedVersion="8" minRefreshableVersion="3" recordCount="0" supportSubquery="1" supportAdvancedDrill="1" xr:uid="{990F0235-FB24-4465-8D35-A6A6A8C1F5B2}">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Grade].[Grade]" caption="Grade" numFmtId="0" hierarchy="11" level="1">
      <sharedItems count="4">
        <s v="Contract"/>
        <s v="Management"/>
        <s v="Professional"/>
        <s v="Trainees"/>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2" memberValueDatatype="130" unbalanced="0">
      <fieldsUsage count="2">
        <fieldUsage x="-1"/>
        <fieldUsage x="2"/>
      </fieldsUsage>
    </cacheHierarchy>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6643519" backgroundQuery="1" createdVersion="8" refreshedVersion="8" minRefreshableVersion="3" recordCount="0" supportSubquery="1" supportAdvancedDrill="1" xr:uid="{F9A066B7-4F13-4E0C-B8DC-E45D2AFE5FC2}">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Reporting Manager].[Reporting Manager]" caption="Reporting Manager" numFmtId="0" hierarchy="6" level="1">
      <sharedItems count="7">
        <s v="Alejandra Mack"/>
        <s v="Darryl Leon"/>
        <s v="Geneva Hardy"/>
        <s v="Janelle Wiley"/>
        <s v="Jefferson Perry"/>
        <s v="Roberta Moyer"/>
        <s v="Ryan Simmons"/>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fieldsUsage count="2">
        <fieldUsage x="-1"/>
        <fieldUsage x="2"/>
      </fieldsUsage>
    </cacheHierarchy>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6990742" backgroundQuery="1" createdVersion="8" refreshedVersion="8" minRefreshableVersion="3" recordCount="0" supportSubquery="1" supportAdvancedDrill="1" xr:uid="{77DCDC14-F9AD-4CE9-801B-244CC5265A18}">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Emp Type].[Emp Type]" caption="Emp Type" numFmtId="0" hierarchy="7" level="1">
      <sharedItems count="2">
        <s v="Contract"/>
        <s v="Permanent"/>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2" memberValueDatatype="130" unbalanced="0">
      <fieldsUsage count="2">
        <fieldUsage x="-1"/>
        <fieldUsage x="2"/>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106481" backgroundQuery="1" createdVersion="8" refreshedVersion="8" minRefreshableVersion="3" recordCount="0" supportSubquery="1" supportAdvancedDrill="1" xr:uid="{31ECD625-5F3D-44F5-B914-9C3518FE7495}">
  <cacheSource type="external" connectionId="3"/>
  <cacheFields count="2">
    <cacheField name="[Measures].[Overall HC]" caption="Overall HC" numFmtId="0" hierarchy="17" level="32767"/>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oneField="1">
      <fieldsUsage count="1">
        <fieldUsage x="0"/>
      </fieldsUsage>
    </cacheHierarchy>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106481" backgroundQuery="1" createdVersion="8" refreshedVersion="8" minRefreshableVersion="3" recordCount="0" supportSubquery="1" supportAdvancedDrill="1" xr:uid="{D4ED7F8F-5904-4612-A0EA-95E6E8501B31}">
  <cacheSource type="external" connectionId="3"/>
  <cacheFields count="2">
    <cacheField name="[Measures].[Active HC]" caption="Active HC" numFmtId="0" hierarchy="18" level="32767"/>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oneField="1">
      <fieldsUsage count="1">
        <fieldUsage x="0"/>
      </fieldsUsage>
    </cacheHierarchy>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22222" backgroundQuery="1" createdVersion="8" refreshedVersion="8" minRefreshableVersion="3" recordCount="0" supportSubquery="1" supportAdvancedDrill="1" xr:uid="{40455D3E-DA94-425E-9545-93153F1BED82}">
  <cacheSource type="external" connectionId="3"/>
  <cacheFields count="2">
    <cacheField name="[Measures].[Attrition]" caption="Attrition" numFmtId="0" hierarchy="19" level="32767"/>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oneField="1">
      <fieldsUsage count="1">
        <fieldUsage x="0"/>
      </fieldsUsage>
    </cacheHierarchy>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337965" backgroundQuery="1" createdVersion="8" refreshedVersion="8" minRefreshableVersion="3" recordCount="0" supportSubquery="1" supportAdvancedDrill="1" xr:uid="{6322769F-9DB1-49D8-AB39-87B3FFE271EC}">
  <cacheSource type="external" connectionId="3"/>
  <cacheFields count="2">
    <cacheField name="[Measures].[Attrition %]" caption="Attrition %" numFmtId="0" hierarchy="20" level="32767"/>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oneField="1">
      <fieldsUsage count="1">
        <fieldUsage x="0"/>
      </fieldsUsage>
    </cacheHierarchy>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337965" backgroundQuery="1" createdVersion="8" refreshedVersion="8" minRefreshableVersion="3" recordCount="0" supportSubquery="1" supportAdvancedDrill="1" xr:uid="{EAE1BA89-29D6-4DBB-98EF-6E8031A6C3E5}">
  <cacheSource type="external" connectionId="3"/>
  <cacheFields count="2">
    <cacheField name="[Measures].[Transfer]" caption="Transfer" numFmtId="0" hierarchy="21" level="32767"/>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7800927" backgroundQuery="1" createdVersion="8" refreshedVersion="8" minRefreshableVersion="3" recordCount="0" supportSubquery="1" supportAdvancedDrill="1" xr:uid="{AEE72149-90C5-4099-BC79-CFB3FED46748}">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Emp Type].[Emp Type]" caption="Emp Type" numFmtId="0" hierarchy="7" level="1">
      <sharedItems count="2">
        <s v="Contract"/>
        <s v="Permanent"/>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2" memberValueDatatype="130" unbalanced="0">
      <fieldsUsage count="2">
        <fieldUsage x="-1"/>
        <fieldUsage x="2"/>
      </fieldsUsage>
    </cacheHierarchy>
    <cacheHierarchy uniqueName="[Sheet1].[Category]" caption="Category" attribute="1" defaultMemberUniqueName="[Sheet1].[Category].[All]" allUniqueName="[Sheet1].[Category].[All]" dimensionUniqueName="[Sheet1]" displayFolder="" count="2"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617148148151" backgroundQuery="1" createdVersion="8" refreshedVersion="8" minRefreshableVersion="3" recordCount="0" supportSubquery="1" supportAdvancedDrill="1" xr:uid="{C38B4388-05D4-40D6-AC6F-E19037028823}">
  <cacheSource type="external" connectionId="3"/>
  <cacheFields count="4">
    <cacheField name="[Measures].[Count of Name]" caption="Count of Name" numFmtId="0" hierarchy="16" level="32767"/>
    <cacheField name="[Sheet1].[Emp Status].[Emp Status]" caption="Emp Status" numFmtId="0" level="1">
      <sharedItems containsSemiMixedTypes="0" containsNonDate="0" containsString="0"/>
    </cacheField>
    <cacheField name="[Sheet1].[Category].[Category]" caption="Category" numFmtId="0" hierarchy="8" level="1">
      <sharedItems count="2">
        <s v="Female"/>
        <s v="Male"/>
      </sharedItems>
    </cacheField>
    <cacheField name="[Sheet1].[Department].[Department]" caption="Department" numFmtId="0" hierarchy="12" level="1">
      <sharedItems containsSemiMixedTypes="0" containsNonDate="0" containsString="0"/>
    </cacheField>
  </cacheFields>
  <cacheHierarchies count="24">
    <cacheHierarchy uniqueName="[Sheet1].[Emp Status]" caption="Emp Status" attribute="1" defaultMemberUniqueName="[Sheet1].[Emp Status].[All]" allUniqueName="[Sheet1].[Emp Status].[All]" dimensionUniqueName="[Sheet1]" displayFolder="" count="2" memberValueDatatype="130" unbalanced="0">
      <fieldsUsage count="2">
        <fieldUsage x="-1"/>
        <fieldUsage x="1"/>
      </fieldsUsage>
    </cacheHierarchy>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3"/>
      </fieldsUsage>
    </cacheHierarchy>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2" memberValueDatatype="20" unbalanced="0"/>
    <cacheHierarchy uniqueName="[Measures].[Count of Name]" caption="Count of Name" measure="1" displayFolder="" measureGroup="Sheet1" count="0" oneField="1">
      <fieldsUsage count="1">
        <fieldUsage x="0"/>
      </fieldsUsage>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BSTI Gautam Nagar" refreshedDate="46042.457050115743" backgroundQuery="1" createdVersion="3" refreshedVersion="8" minRefreshableVersion="3" recordCount="0" supportSubquery="1" supportAdvancedDrill="1" xr:uid="{248E29D8-6BEC-4C2E-8349-078D84830011}">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Sheet1].[Emp Status]" caption="Emp Status" attribute="1" defaultMemberUniqueName="[Sheet1].[Emp Status].[All]" allUniqueName="[Sheet1].[Emp Status].[All]" dimensionUniqueName="[Sheet1]" displayFolder="" count="0" memberValueDatatype="130" unbalanced="0"/>
    <cacheHierarchy uniqueName="[Sheet1].[Movement]" caption="Movement" attribute="1" defaultMemberUniqueName="[Sheet1].[Movement].[All]" allUniqueName="[Sheet1].[Movement].[All]" dimensionUniqueName="[Sheet1]" displayFolder="" count="0" memberValueDatatype="130" unbalanced="0"/>
    <cacheHierarchy uniqueName="[Sheet1].[Emp Id]" caption="Emp Id" attribute="1" defaultMemberUniqueName="[Sheet1].[Emp Id].[All]" allUniqueName="[Sheet1].[Emp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Data of Relieving]" caption="Data of Relieving" attribute="1" time="1" defaultMemberUniqueName="[Sheet1].[Data of Relieving].[All]" allUniqueName="[Sheet1].[Data of Relieving].[All]" dimensionUniqueName="[Sheet1]" displayFolder="" count="0" memberValueDatatype="7" unbalanced="0"/>
    <cacheHierarchy uniqueName="[Sheet1].[Reporting Manager]" caption="Reporting Manager" attribute="1" defaultMemberUniqueName="[Sheet1].[Reporting Manager].[All]" allUniqueName="[Sheet1].[Reporting Manager].[All]" dimensionUniqueName="[Sheet1]" displayFolder="" count="2" memberValueDatatype="130" unbalanced="0"/>
    <cacheHierarchy uniqueName="[Sheet1].[Emp Type]" caption="Emp Type" attribute="1" defaultMemberUniqueName="[Sheet1].[Emp Type].[All]" allUniqueName="[Sheet1].[Emp Type].[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Date of Birth]" caption="Date of Birth" attribute="1" time="1" defaultMemberUniqueName="[Sheet1].[Date of Birth].[All]" allUniqueName="[Sheet1].[Date of Birth].[All]" dimensionUniqueName="[Sheet1]" displayFolder="" count="0" memberValueDatatype="7" unbalanced="0"/>
    <cacheHierarchy uniqueName="[Sheet1].[Marital status]" caption="Marital status" attribute="1" defaultMemberUniqueName="[Sheet1].[Marital status].[All]" allUniqueName="[Sheet1].[Marital status].[All]" dimensionUniqueName="[Sheet1]" displayFolder="" count="0" memberValueDatatype="130" unbalanced="0"/>
    <cacheHierarchy uniqueName="[Sheet1].[Grade]" caption="Grade" attribute="1" defaultMemberUniqueName="[Sheet1].[Grade].[All]" allUniqueName="[Sheet1].[Grad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cacheHierarchy uniqueName="[Sheet1].[Total Experience]" caption="Total Experience" attribute="1" defaultMemberUniqueName="[Sheet1].[Total Experience].[All]" allUniqueName="[Sheet1].[Total Experience].[All]" dimensionUniqueName="[Sheet1]" displayFolder="" count="0" memberValueDatatype="5" unbalanced="0"/>
    <cacheHierarchy uniqueName="[Sheet1].[stability]" caption="stability" attribute="1" defaultMemberUniqueName="[Sheet1].[stability].[All]" allUniqueName="[Sheet1].[stability].[All]" dimensionUniqueName="[Sheet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Measures].[Count of Name]" caption="Count of Name" measure="1" displayFolder="" measureGroup="Sheet1" count="0">
      <extLst>
        <ext xmlns:x15="http://schemas.microsoft.com/office/spreadsheetml/2010/11/main" uri="{B97F6D7D-B522-45F9-BDA1-12C45D357490}">
          <x15:cacheHierarchy aggregatedColumn="3"/>
        </ext>
      </extLst>
    </cacheHierarchy>
    <cacheHierarchy uniqueName="[Measures].[Overall HC]" caption="Overall HC" measure="1" displayFolder="" measureGroup="Sheet1" count="0"/>
    <cacheHierarchy uniqueName="[Measures].[Active HC]" caption="Active HC" measure="1" displayFolder="" measureGroup="Sheet1" count="0"/>
    <cacheHierarchy uniqueName="[Measures].[Attrition]" caption="Attrition" measure="1" displayFolder="" measureGroup="Sheet1" count="0"/>
    <cacheHierarchy uniqueName="[Measures].[Attrition %]" caption="Attrition %" measure="1" displayFolder="" measureGroup="Sheet1" count="0"/>
    <cacheHierarchy uniqueName="[Measures].[Transfer]" caption="Transfer"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5370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4E90D-E3C6-4890-8B06-06CB002BAC10}" name="PivotTable13" cacheId="61" applyNumberFormats="0" applyBorderFormats="0" applyFontFormats="0" applyPatternFormats="0" applyAlignmentFormats="0" applyWidthHeightFormats="1" dataCaption="Values" tag="e9d43130-70d1-400b-a08c-602130a78825" updatedVersion="8" minRefreshableVersion="3" rowGrandTotals="0" itemPrintTitles="1" createdVersion="8" indent="0" outline="1" outlineData="1" multipleFieldFilters="0">
  <location ref="S3:T1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6"/>
    </i>
    <i>
      <x v="3"/>
    </i>
    <i>
      <x v="5"/>
    </i>
    <i>
      <x/>
    </i>
    <i>
      <x v="1"/>
    </i>
    <i>
      <x v="4"/>
    </i>
    <i>
      <x v="2"/>
    </i>
  </rowItems>
  <colItems count="1">
    <i/>
  </colItems>
  <pageFields count="1">
    <pageField fld="1" hier="0" name="[Sheet1].[Emp Status].&amp;[On-Board]" cap="On-Board"/>
  </pageFields>
  <dataFields count="1">
    <dataField name="Count of Name" fld="0" subtotal="count" baseField="0" baseItem="0"/>
  </dataField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44C50-3AF6-4BE8-8242-F86F26D1CB88}" name="PivotTable3" cacheId="70" applyNumberFormats="0" applyBorderFormats="0" applyFontFormats="0" applyPatternFormats="0" applyAlignmentFormats="0" applyWidthHeightFormats="1" dataCaption="Values" tag="8afb591e-c7e6-44f9-8097-9fa289093020" updatedVersion="8" minRefreshableVersion="3" itemPrintTitles="1" createdVersion="8" indent="0" outline="1" outlineData="1" multipleFieldFilters="0">
  <location ref="C14:C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A944BD-C851-4C9C-B8D3-8AF7776EEADE}" name="PivotTable7" cacheId="82" applyNumberFormats="0" applyBorderFormats="0" applyFontFormats="0" applyPatternFormats="0" applyAlignmentFormats="0" applyWidthHeightFormats="1" dataCaption="Values" tag="affaeab6-a0c4-4f04-ac7f-1c8a95b932fb" updatedVersion="8" minRefreshableVersion="3" itemPrintTitles="1" createdVersion="8" indent="0" outline="1" outlineData="1" multipleFieldFilters="0" chartFormat="4">
  <location ref="N17:Q19" firstHeaderRow="1" firstDataRow="2" firstDataCol="1" rowPageCount="1" colPageCount="1"/>
  <pivotFields count="4">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2"/>
  </colFields>
  <colItems count="3">
    <i>
      <x/>
    </i>
    <i>
      <x v="1"/>
    </i>
    <i t="grand">
      <x/>
    </i>
  </colItems>
  <pageFields count="1">
    <pageField fld="1" hier="0" name="[Sheet1].[Emp Status].&amp;[On-Board]" cap="On-Board"/>
  </pageFields>
  <dataFields count="1">
    <dataField name="Count of Name"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9FDEE-D679-46B5-92B7-174C57F4328F}" name="PivotTable15" cacheId="52" applyNumberFormats="0" applyBorderFormats="0" applyFontFormats="0" applyPatternFormats="0" applyAlignmentFormats="0" applyWidthHeightFormats="1" dataCaption="Values" tag="4d469e51-7189-4c36-bae5-0dfe89731de0" updatedVersion="8" minRefreshableVersion="3" itemPrintTitles="1" createdVersion="8" indent="0" outline="1" outlineData="1" multipleFieldFilters="0" chartFormat="4">
  <location ref="J16:K23"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pageFields count="1">
    <pageField fld="1" hier="0" name="[Sheet1].[Emp Status].&amp;[On-Board]" cap="On-Board"/>
  </pageField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099AFF-E293-4EC9-A4B6-BB15ED44C745}" name="PivotTable9" cacheId="85" applyNumberFormats="0" applyBorderFormats="0" applyFontFormats="0" applyPatternFormats="0" applyAlignmentFormats="0" applyWidthHeightFormats="1" dataCaption="Values" tag="e4c5209f-1e59-47eb-bf9d-ceb58ac90905" updatedVersion="8" minRefreshableVersion="3" subtotalHiddenItems="1" itemPrintTitles="1" createdVersion="8" indent="0" outline="1" outlineData="1" multipleFieldFilters="0" chartFormat="4">
  <location ref="G3:H6"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1" hier="0" name="[Sheet1].[Emp Status].&amp;[On-Board]" cap="On-Board"/>
  </pageFields>
  <dataFields count="1">
    <dataField name="Count of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9B4781-7894-47E0-946B-FFD3253D93E9}" name="PivotTable1" cacheId="55" applyNumberFormats="0" applyBorderFormats="0" applyFontFormats="0" applyPatternFormats="0" applyAlignmentFormats="0" applyWidthHeightFormats="1" dataCaption="Values" tag="7c8c22b2-b9bb-4b3a-941a-d51603a388d7" updatedVersion="8" minRefreshableVersion="3" subtotalHiddenItems="1" itemPrintTitles="1" createdVersion="8" indent="0" outline="1" outlineData="1" multipleFieldFilters="0" chartFormat="1">
  <location ref="A1:E9"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x v="1"/>
    </i>
    <i>
      <x v="2"/>
    </i>
    <i t="grand">
      <x/>
    </i>
  </colItems>
  <dataFields count="1">
    <dataField name="Count of Name" fld="1" subtotal="count" baseField="0" baseItem="0"/>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B4A876-BDC2-4C61-914B-58DBDC258269}" name="PivotTable6" cacheId="79" applyNumberFormats="0" applyBorderFormats="0" applyFontFormats="0" applyPatternFormats="0" applyAlignmentFormats="0" applyWidthHeightFormats="1" dataCaption="Values" tag="5a748d66-a8df-4875-925d-085274e554e9" updatedVersion="8" minRefreshableVersion="3"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62D9D8-EDB5-414A-8753-0802445FC888}" name="PivotTable5" cacheId="76" applyNumberFormats="0" applyBorderFormats="0" applyFontFormats="0" applyPatternFormats="0" applyAlignmentFormats="0" applyWidthHeightFormats="1" dataCaption="Values" tag="70ab8fb5-eef7-46fa-807b-7ab7e34909ca" updatedVersion="8" minRefreshableVersion="3" itemPrintTitles="1" createdVersion="8" indent="0" outline="1" outlineData="1" multipleFieldFilters="0">
  <location ref="C17:C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D96195-4928-4F1F-80B1-CE7493ED8858}" name="PivotTable14" cacheId="64" applyNumberFormats="0" applyBorderFormats="0" applyFontFormats="0" applyPatternFormats="0" applyAlignmentFormats="0" applyWidthHeightFormats="1" dataCaption="Values" tag="affaeab6-a0c4-4f04-ac7f-1c8a95b932fb" updatedVersion="8" minRefreshableVersion="3" itemPrintTitles="1" createdVersion="8" indent="0" outline="1" outlineData="1" multipleFieldFilters="0" chartFormat="4">
  <location ref="F16:I18" firstHeaderRow="1" firstDataRow="2" firstDataCol="1" rowPageCount="1" colPageCount="1"/>
  <pivotFields count="4">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2"/>
  </colFields>
  <colItems count="3">
    <i>
      <x/>
    </i>
    <i>
      <x v="1"/>
    </i>
    <i t="grand">
      <x/>
    </i>
  </colItems>
  <pageFields count="1">
    <pageField fld="1" hier="0" name="[Sheet1].[Emp Status].&amp;[On-Board]" cap="On-Board"/>
  </pageFields>
  <dataFields count="1">
    <dataField name="Count of Name" fld="0" subtotal="count" showDataAs="percentOfTotal" baseField="0" baseItem="0" numFmtId="1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BDDB36-4AAA-47A4-991B-AD3653CEB082}" name="PivotTable4" cacheId="73" applyNumberFormats="0" applyBorderFormats="0" applyFontFormats="0" applyPatternFormats="0" applyAlignmentFormats="0" applyWidthHeightFormats="1" dataCaption="Values" tag="9ccac96e-0df4-433e-8702-48177266c494" updatedVersion="8" minRefreshableVersion="3"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8452F8-F5D5-4796-9840-D7BA8132BC78}" name="PivotTable12" cacheId="4" applyNumberFormats="0" applyBorderFormats="0" applyFontFormats="0" applyPatternFormats="0" applyAlignmentFormats="0" applyWidthHeightFormats="1" dataCaption="Values" tag="15c31f41-f908-41d2-91b5-b5e035d18f76" updatedVersion="8" minRefreshableVersion="3" itemPrintTitles="1" createdVersion="8" indent="0" outline="1" outlineData="1" multipleFieldFilters="0" chartFormat="4">
  <location ref="O3:P11"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pageFields count="1">
    <pageField fld="1" hier="0" name="[Sheet1].[Emp Status].&amp;[On-Board]" cap="On-Board"/>
  </pageFields>
  <dataFields count="1">
    <dataField name="Count of Name" fld="0" subtotal="count" baseField="0" baseItem="0"/>
  </dataField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B693CB-03B6-4A8E-8658-EDFA9A641CB4}" name="PivotTable11" cacheId="58" applyNumberFormats="0" applyBorderFormats="0" applyFontFormats="0" applyPatternFormats="0" applyAlignmentFormats="0" applyWidthHeightFormats="1" dataCaption="Values" tag="b9bf1e1c-a0f9-4b0a-ab85-d0e6e04b8692" updatedVersion="8" minRefreshableVersion="3" subtotalHiddenItems="1" itemPrintTitles="1" createdVersion="8" indent="0" outline="1" outlineData="1" multipleFieldFilters="0" chartFormat="7">
  <location ref="K3:L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sortType="ascending"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pageFields count="1">
    <pageField fld="1" hier="0" name="[Sheet1].[Emp Status].&amp;[On-Board]" cap="On-Board"/>
  </pageFields>
  <dataFields count="1">
    <dataField name="Count of Name" fld="0" subtotal="count" baseField="0" baseItem="0"/>
  </dataFields>
  <pivotHierarchies count="24">
    <pivotHierarchy multipleItemSelectionAllowed="1" dragToData="1">
      <members count="1" level="1">
        <member name="[Sheet1].[Emp Status].&amp;[On-Boar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1BD351-A292-47E6-9843-CDECD5F04647}" name="PivotTable2" cacheId="67" applyNumberFormats="0" applyBorderFormats="0" applyFontFormats="0" applyPatternFormats="0" applyAlignmentFormats="0" applyWidthHeightFormats="1" dataCaption="Values" tag="48dce4c1-ff0b-4ad1-af11-7061b2e12767" updatedVersion="8" minRefreshableVersion="3"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23A0B8D-9CE7-4438-878C-4F6F9A92C8FD}" autoFormatId="16" applyNumberFormats="0" applyBorderFormats="0" applyFontFormats="0" applyPatternFormats="0" applyAlignmentFormats="0" applyWidthHeightFormats="0">
  <queryTableRefresh nextId="17">
    <queryTableFields count="16">
      <queryTableField id="1" name="Emp Status" tableColumnId="1"/>
      <queryTableField id="2" name="Movement" tableColumnId="2"/>
      <queryTableField id="3" name="Emp Id" tableColumnId="3"/>
      <queryTableField id="4" name="Name" tableColumnId="4"/>
      <queryTableField id="5" name="Date of Joining" tableColumnId="5"/>
      <queryTableField id="6" name="Data of Relieving" tableColumnId="6"/>
      <queryTableField id="7" name="Reporting Manager" tableColumnId="7"/>
      <queryTableField id="8" name="Emp Type" tableColumnId="8"/>
      <queryTableField id="9" name="Category" tableColumnId="9"/>
      <queryTableField id="10" name="Date of Birth" tableColumnId="10"/>
      <queryTableField id="11" name="Marital status" tableColumnId="11"/>
      <queryTableField id="12" name="Grade" tableColumnId="12"/>
      <queryTableField id="13" name="Department" tableColumnId="13"/>
      <queryTableField id="14" name="Total Experience" tableColumnId="14"/>
      <queryTableField id="15" name="stability" tableColumnId="15"/>
      <queryTableField id="16" name="Year" tableColumnId="16"/>
    </queryTableFields>
  </queryTableRefresh>
  <extLst>
    <ext xmlns:x15="http://schemas.microsoft.com/office/spreadsheetml/2010/11/main" uri="{883FBD77-0823-4a55-B5E3-86C4891E6966}">
      <x15:queryTable sourceDataName="Query - Sheet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315E38-B72A-4A74-91C9-E8D148054049}" sourceName="[Sheet1].[Department]">
  <pivotTables>
    <pivotTable tabId="2" name="PivotTable15"/>
    <pivotTable tabId="2" name="PivotTable1"/>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9"/>
  </pivotTables>
  <data>
    <olap pivotCacheId="655370371">
      <levels count="2">
        <level uniqueName="[Sheet1].[Department].[(All)]" sourceCaption="(All)" count="0"/>
        <level uniqueName="[Sheet1].[Department].[Department]" sourceCaption="Department" count="7">
          <ranges>
            <range startItem="0">
              <i n="[Sheet1].[Department].&amp;[Accounting]" c="Accounting"/>
              <i n="[Sheet1].[Department].&amp;[Finance]" c="Finance"/>
              <i n="[Sheet1].[Department].&amp;[HR]" c="HR"/>
              <i n="[Sheet1].[Department].&amp;[Legal]" c="Legal"/>
              <i n="[Sheet1].[Department].&amp;[Marketing]" c="Marketing"/>
              <i n="[Sheet1].[Department].&amp;[Operations]" c="Operations"/>
              <i n="[Sheet1].[Department].&amp;[Sales]" c="Sales"/>
            </range>
          </ranges>
        </level>
      </levels>
      <selections count="1">
        <selection n="[Sheet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anager" xr10:uid="{82B75620-4159-48CC-A602-3FC4B4E9950D}" sourceName="[Sheet1].[Reporting Manager]">
  <pivotTables>
    <pivotTable tabId="2" name="PivotTable15"/>
    <pivotTable tabId="2" name="PivotTable1"/>
    <pivotTable tabId="2" name="PivotTable11"/>
    <pivotTable tabId="2" name="PivotTable12"/>
    <pivotTable tabId="2" name="PivotTable14"/>
    <pivotTable tabId="2" name="PivotTable2"/>
    <pivotTable tabId="2" name="PivotTable3"/>
    <pivotTable tabId="2" name="PivotTable4"/>
    <pivotTable tabId="2" name="PivotTable5"/>
    <pivotTable tabId="2" name="PivotTable6"/>
    <pivotTable tabId="2" name="PivotTable7"/>
    <pivotTable tabId="2" name="PivotTable9"/>
  </pivotTables>
  <data>
    <olap pivotCacheId="655370371">
      <levels count="2">
        <level uniqueName="[Sheet1].[Reporting Manager].[(All)]" sourceCaption="(All)" count="0"/>
        <level uniqueName="[Sheet1].[Reporting Manager].[Reporting Manager]" sourceCaption="Reporting Manager" count="7">
          <ranges>
            <range startItem="0">
              <i n="[Sheet1].[Reporting Manager].&amp;[Alejandra Mack]" c="Alejandra Mack"/>
              <i n="[Sheet1].[Reporting Manager].&amp;[Darryl Leon]" c="Darryl Leon"/>
              <i n="[Sheet1].[Reporting Manager].&amp;[Geneva Hardy]" c="Geneva Hardy"/>
              <i n="[Sheet1].[Reporting Manager].&amp;[Janelle Wiley]" c="Janelle Wiley"/>
              <i n="[Sheet1].[Reporting Manager].&amp;[Jefferson Perry]" c="Jefferson Perry"/>
              <i n="[Sheet1].[Reporting Manager].&amp;[Roberta Moyer]" c="Roberta Moyer"/>
              <i n="[Sheet1].[Reporting Manager].&amp;[Ryan Simmons]" c="Ryan Simmons"/>
            </range>
          </ranges>
        </level>
      </levels>
      <selections count="1">
        <selection n="[Sheet1].[Reporting 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4E11754-F4AA-426B-BCA6-F63E0D73D9C3}" cache="Slicer_Department" caption="Department" level="1" style="hr style" rowHeight="360000"/>
  <slicer name="Reporting Manager" xr10:uid="{7B135526-2290-42DE-9A0A-1FB74B0072E0}" cache="Slicer_Reporting_Manager" caption="Reporting Manager" level="1" style="hr style"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907805-C353-476F-A7FA-FEFC88B6235C}" name="Sheet1" displayName="Sheet1" ref="A1:P172" tableType="queryTable" totalsRowShown="0">
  <autoFilter ref="A1:P172" xr:uid="{5D907805-C353-476F-A7FA-FEFC88B6235C}"/>
  <tableColumns count="16">
    <tableColumn id="1" xr3:uid="{43F63FA7-90B5-4D56-9FAA-F80DEC930008}" uniqueName="1" name="Emp Status" queryTableFieldId="1" dataDxfId="22"/>
    <tableColumn id="2" xr3:uid="{85DFE8DD-D13B-43AA-8676-E085F37941E4}" uniqueName="2" name="Movement" queryTableFieldId="2" dataDxfId="21"/>
    <tableColumn id="3" xr3:uid="{B24A9D99-EE88-4225-A799-19F98068D4CB}" uniqueName="3" name="Emp Id" queryTableFieldId="3" dataDxfId="20"/>
    <tableColumn id="4" xr3:uid="{559C2D2A-367A-46C9-AA4A-DC0ADD5C565A}" uniqueName="4" name="Name" queryTableFieldId="4" dataDxfId="19"/>
    <tableColumn id="5" xr3:uid="{BD77BFFF-244A-4D70-895B-EB9337214A73}" uniqueName="5" name="Date of Joining" queryTableFieldId="5" dataDxfId="18"/>
    <tableColumn id="6" xr3:uid="{805D8D2B-7CFC-49CF-AE43-75A750B0FBC1}" uniqueName="6" name="Data of Relieving" queryTableFieldId="6" dataDxfId="17"/>
    <tableColumn id="7" xr3:uid="{0B15FEDD-915C-4A14-A137-0A27C77E972E}" uniqueName="7" name="Reporting Manager" queryTableFieldId="7" dataDxfId="16"/>
    <tableColumn id="8" xr3:uid="{846F00F7-2201-42EC-8F5C-943063A187E2}" uniqueName="8" name="Emp Type" queryTableFieldId="8" dataDxfId="15"/>
    <tableColumn id="9" xr3:uid="{5E61BC8D-9F05-4FFB-9674-6E26840AE88D}" uniqueName="9" name="Category" queryTableFieldId="9" dataDxfId="14"/>
    <tableColumn id="10" xr3:uid="{25071B0D-54BE-4604-8FD5-FD6B7E48A891}" uniqueName="10" name="Date of Birth" queryTableFieldId="10" dataDxfId="13"/>
    <tableColumn id="11" xr3:uid="{4B814C33-B8C9-4A51-8975-AD710A1FD52F}" uniqueName="11" name="Marital status" queryTableFieldId="11" dataDxfId="12"/>
    <tableColumn id="12" xr3:uid="{62AD09F9-6D49-41ED-B179-9398D98FF65F}" uniqueName="12" name="Grade" queryTableFieldId="12" dataDxfId="11"/>
    <tableColumn id="13" xr3:uid="{56FA88D6-7E44-4966-9F13-458D8C14B1CA}" uniqueName="13" name="Department" queryTableFieldId="13" dataDxfId="10"/>
    <tableColumn id="14" xr3:uid="{A4DB3EE3-0318-4A18-959D-C16342EC64CF}" uniqueName="14" name="Total Experience" queryTableFieldId="14"/>
    <tableColumn id="15" xr3:uid="{7C7F65EE-BBB4-488B-BA7A-2FF5C35F23B4}" uniqueName="15" name="stability" queryTableFieldId="15" dataDxfId="9"/>
    <tableColumn id="16" xr3:uid="{413C442D-B1A2-4B4D-BA24-615B4D9859BD}"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718C-6BF0-4F42-907A-650E61171AEB}">
  <dimension ref="A1:P172"/>
  <sheetViews>
    <sheetView workbookViewId="0">
      <selection activeCell="F17" sqref="F17"/>
    </sheetView>
  </sheetViews>
  <sheetFormatPr defaultRowHeight="15" x14ac:dyDescent="0.25"/>
  <cols>
    <col min="1" max="1" width="13.42578125" bestFit="1" customWidth="1"/>
    <col min="2" max="2" width="12.85546875" bestFit="1" customWidth="1"/>
    <col min="3" max="3" width="9.42578125" bestFit="1" customWidth="1"/>
    <col min="4" max="4" width="20" bestFit="1" customWidth="1"/>
    <col min="5" max="5" width="16.7109375" bestFit="1" customWidth="1"/>
    <col min="6" max="6" width="18.7109375" bestFit="1" customWidth="1"/>
    <col min="7" max="7" width="20.42578125" bestFit="1" customWidth="1"/>
    <col min="8" max="8" width="12" bestFit="1" customWidth="1"/>
    <col min="9" max="9" width="11.42578125" bestFit="1" customWidth="1"/>
    <col min="10" max="10" width="14.5703125" bestFit="1" customWidth="1"/>
    <col min="11" max="11" width="15.5703125" bestFit="1" customWidth="1"/>
    <col min="12" max="12" width="12.42578125" bestFit="1" customWidth="1"/>
    <col min="13" max="13" width="14.140625" bestFit="1" customWidth="1"/>
    <col min="14" max="14" width="18.42578125" bestFit="1" customWidth="1"/>
    <col min="15" max="15" width="10.5703125" bestFit="1" customWidth="1"/>
    <col min="16" max="16" width="7.28515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C2" t="s">
        <v>17</v>
      </c>
      <c r="D2" t="s">
        <v>18</v>
      </c>
      <c r="E2" s="1">
        <v>43887</v>
      </c>
      <c r="F2" s="1"/>
      <c r="G2" t="s">
        <v>19</v>
      </c>
      <c r="H2" t="s">
        <v>20</v>
      </c>
      <c r="I2" t="s">
        <v>21</v>
      </c>
      <c r="J2" s="1">
        <v>46330</v>
      </c>
      <c r="K2" t="s">
        <v>22</v>
      </c>
      <c r="L2" t="s">
        <v>23</v>
      </c>
      <c r="M2" t="s">
        <v>24</v>
      </c>
      <c r="N2">
        <v>17</v>
      </c>
      <c r="O2" t="s">
        <v>25</v>
      </c>
      <c r="P2">
        <v>2020</v>
      </c>
    </row>
    <row r="3" spans="1:16" x14ac:dyDescent="0.25">
      <c r="A3" t="s">
        <v>16</v>
      </c>
      <c r="C3" t="s">
        <v>26</v>
      </c>
      <c r="D3" t="s">
        <v>27</v>
      </c>
      <c r="E3" s="1">
        <v>43971</v>
      </c>
      <c r="F3" s="1"/>
      <c r="G3" t="s">
        <v>19</v>
      </c>
      <c r="H3" t="s">
        <v>20</v>
      </c>
      <c r="I3" t="s">
        <v>21</v>
      </c>
      <c r="J3" s="1">
        <v>46133</v>
      </c>
      <c r="K3" t="s">
        <v>22</v>
      </c>
      <c r="L3" t="s">
        <v>23</v>
      </c>
      <c r="M3" t="s">
        <v>28</v>
      </c>
      <c r="N3">
        <v>13</v>
      </c>
      <c r="O3" t="s">
        <v>25</v>
      </c>
      <c r="P3">
        <v>2020</v>
      </c>
    </row>
    <row r="4" spans="1:16" x14ac:dyDescent="0.25">
      <c r="A4" t="s">
        <v>16</v>
      </c>
      <c r="C4" t="s">
        <v>29</v>
      </c>
      <c r="D4" t="s">
        <v>30</v>
      </c>
      <c r="E4" s="1">
        <v>44000</v>
      </c>
      <c r="F4" s="1"/>
      <c r="G4" t="s">
        <v>19</v>
      </c>
      <c r="H4" t="s">
        <v>20</v>
      </c>
      <c r="I4" t="s">
        <v>21</v>
      </c>
      <c r="J4" s="1">
        <v>46387</v>
      </c>
      <c r="K4" t="s">
        <v>22</v>
      </c>
      <c r="L4" t="s">
        <v>23</v>
      </c>
      <c r="M4" t="s">
        <v>24</v>
      </c>
      <c r="N4">
        <v>13</v>
      </c>
      <c r="O4" t="s">
        <v>25</v>
      </c>
      <c r="P4">
        <v>2020</v>
      </c>
    </row>
    <row r="5" spans="1:16" x14ac:dyDescent="0.25">
      <c r="A5" t="s">
        <v>16</v>
      </c>
      <c r="C5" t="s">
        <v>31</v>
      </c>
      <c r="D5" t="s">
        <v>32</v>
      </c>
      <c r="E5" s="1">
        <v>44020</v>
      </c>
      <c r="F5" s="1"/>
      <c r="G5" t="s">
        <v>19</v>
      </c>
      <c r="H5" t="s">
        <v>20</v>
      </c>
      <c r="I5" t="s">
        <v>21</v>
      </c>
      <c r="J5" s="1">
        <v>46298</v>
      </c>
      <c r="K5" t="s">
        <v>22</v>
      </c>
      <c r="L5" t="s">
        <v>33</v>
      </c>
      <c r="M5" t="s">
        <v>34</v>
      </c>
      <c r="N5">
        <v>6.5</v>
      </c>
      <c r="O5" t="s">
        <v>25</v>
      </c>
      <c r="P5">
        <v>2020</v>
      </c>
    </row>
    <row r="6" spans="1:16" x14ac:dyDescent="0.25">
      <c r="A6" t="s">
        <v>16</v>
      </c>
      <c r="C6" t="s">
        <v>35</v>
      </c>
      <c r="D6" t="s">
        <v>36</v>
      </c>
      <c r="E6" s="1">
        <v>44036</v>
      </c>
      <c r="F6" s="1"/>
      <c r="G6" t="s">
        <v>37</v>
      </c>
      <c r="H6" t="s">
        <v>20</v>
      </c>
      <c r="I6" t="s">
        <v>21</v>
      </c>
      <c r="J6" s="1">
        <v>46164</v>
      </c>
      <c r="K6" t="s">
        <v>22</v>
      </c>
      <c r="L6" t="s">
        <v>33</v>
      </c>
      <c r="M6" t="s">
        <v>28</v>
      </c>
      <c r="N6">
        <v>8</v>
      </c>
      <c r="O6" t="s">
        <v>25</v>
      </c>
      <c r="P6">
        <v>2020</v>
      </c>
    </row>
    <row r="7" spans="1:16" x14ac:dyDescent="0.25">
      <c r="A7" t="s">
        <v>16</v>
      </c>
      <c r="C7" t="s">
        <v>38</v>
      </c>
      <c r="D7" t="s">
        <v>39</v>
      </c>
      <c r="E7" s="1">
        <v>44043</v>
      </c>
      <c r="F7" s="1"/>
      <c r="G7" t="s">
        <v>40</v>
      </c>
      <c r="H7" t="s">
        <v>20</v>
      </c>
      <c r="I7" t="s">
        <v>41</v>
      </c>
      <c r="J7" s="1">
        <v>46366</v>
      </c>
      <c r="K7" t="s">
        <v>22</v>
      </c>
      <c r="L7" t="s">
        <v>33</v>
      </c>
      <c r="M7" t="s">
        <v>34</v>
      </c>
      <c r="N7">
        <v>12</v>
      </c>
      <c r="O7" t="s">
        <v>25</v>
      </c>
      <c r="P7">
        <v>2020</v>
      </c>
    </row>
    <row r="8" spans="1:16" x14ac:dyDescent="0.25">
      <c r="A8" t="s">
        <v>16</v>
      </c>
      <c r="C8" t="s">
        <v>42</v>
      </c>
      <c r="D8" t="s">
        <v>43</v>
      </c>
      <c r="E8" s="1">
        <v>44075</v>
      </c>
      <c r="F8" s="1"/>
      <c r="G8" t="s">
        <v>44</v>
      </c>
      <c r="H8" t="s">
        <v>20</v>
      </c>
      <c r="I8" t="s">
        <v>21</v>
      </c>
      <c r="J8" s="1">
        <v>46042</v>
      </c>
      <c r="K8" t="s">
        <v>45</v>
      </c>
      <c r="L8" t="s">
        <v>33</v>
      </c>
      <c r="M8" t="s">
        <v>28</v>
      </c>
      <c r="N8">
        <v>9</v>
      </c>
      <c r="O8" t="s">
        <v>25</v>
      </c>
      <c r="P8">
        <v>2020</v>
      </c>
    </row>
    <row r="9" spans="1:16" x14ac:dyDescent="0.25">
      <c r="A9" t="s">
        <v>16</v>
      </c>
      <c r="C9" t="s">
        <v>46</v>
      </c>
      <c r="D9" t="s">
        <v>47</v>
      </c>
      <c r="E9" s="1">
        <v>44075</v>
      </c>
      <c r="F9" s="1"/>
      <c r="G9" t="s">
        <v>48</v>
      </c>
      <c r="H9" t="s">
        <v>20</v>
      </c>
      <c r="I9" t="s">
        <v>21</v>
      </c>
      <c r="J9" s="1">
        <v>46350</v>
      </c>
      <c r="K9" t="s">
        <v>45</v>
      </c>
      <c r="L9" t="s">
        <v>23</v>
      </c>
      <c r="M9" t="s">
        <v>28</v>
      </c>
      <c r="N9">
        <v>8</v>
      </c>
      <c r="O9" t="s">
        <v>25</v>
      </c>
      <c r="P9">
        <v>2020</v>
      </c>
    </row>
    <row r="10" spans="1:16" x14ac:dyDescent="0.25">
      <c r="A10" t="s">
        <v>16</v>
      </c>
      <c r="C10" t="s">
        <v>49</v>
      </c>
      <c r="D10" t="s">
        <v>50</v>
      </c>
      <c r="E10" s="1">
        <v>44075</v>
      </c>
      <c r="F10" s="1"/>
      <c r="G10" t="s">
        <v>51</v>
      </c>
      <c r="H10" t="s">
        <v>20</v>
      </c>
      <c r="I10" t="s">
        <v>21</v>
      </c>
      <c r="J10" s="1">
        <v>46330</v>
      </c>
      <c r="K10" t="s">
        <v>45</v>
      </c>
      <c r="L10" t="s">
        <v>23</v>
      </c>
      <c r="M10" t="s">
        <v>24</v>
      </c>
      <c r="N10">
        <v>17</v>
      </c>
      <c r="O10" t="s">
        <v>25</v>
      </c>
      <c r="P10">
        <v>2020</v>
      </c>
    </row>
    <row r="11" spans="1:16" x14ac:dyDescent="0.25">
      <c r="A11" t="s">
        <v>16</v>
      </c>
      <c r="C11" t="s">
        <v>52</v>
      </c>
      <c r="D11" t="s">
        <v>53</v>
      </c>
      <c r="E11" s="1">
        <v>44075</v>
      </c>
      <c r="F11" s="1"/>
      <c r="G11" t="s">
        <v>53</v>
      </c>
      <c r="H11" t="s">
        <v>20</v>
      </c>
      <c r="I11" t="s">
        <v>21</v>
      </c>
      <c r="J11" s="1">
        <v>46133</v>
      </c>
      <c r="K11" t="s">
        <v>22</v>
      </c>
      <c r="L11" t="s">
        <v>23</v>
      </c>
      <c r="M11" t="s">
        <v>28</v>
      </c>
      <c r="N11">
        <v>13</v>
      </c>
      <c r="O11" t="s">
        <v>25</v>
      </c>
      <c r="P11">
        <v>2020</v>
      </c>
    </row>
    <row r="12" spans="1:16" x14ac:dyDescent="0.25">
      <c r="A12" t="s">
        <v>16</v>
      </c>
      <c r="C12" t="s">
        <v>54</v>
      </c>
      <c r="D12" t="s">
        <v>55</v>
      </c>
      <c r="E12" s="1">
        <v>44075</v>
      </c>
      <c r="F12" s="1"/>
      <c r="G12" t="s">
        <v>37</v>
      </c>
      <c r="H12" t="s">
        <v>20</v>
      </c>
      <c r="I12" t="s">
        <v>21</v>
      </c>
      <c r="J12" s="1">
        <v>46387</v>
      </c>
      <c r="K12" t="s">
        <v>22</v>
      </c>
      <c r="L12" t="s">
        <v>23</v>
      </c>
      <c r="M12" t="s">
        <v>24</v>
      </c>
      <c r="N12">
        <v>13</v>
      </c>
      <c r="O12" t="s">
        <v>25</v>
      </c>
      <c r="P12">
        <v>2020</v>
      </c>
    </row>
    <row r="13" spans="1:16" x14ac:dyDescent="0.25">
      <c r="A13" t="s">
        <v>16</v>
      </c>
      <c r="C13" t="s">
        <v>56</v>
      </c>
      <c r="D13" t="s">
        <v>57</v>
      </c>
      <c r="E13" s="1">
        <v>44075</v>
      </c>
      <c r="F13" s="1"/>
      <c r="G13" t="s">
        <v>40</v>
      </c>
      <c r="H13" t="s">
        <v>20</v>
      </c>
      <c r="I13" t="s">
        <v>41</v>
      </c>
      <c r="J13" s="1">
        <v>46169</v>
      </c>
      <c r="K13" t="s">
        <v>22</v>
      </c>
      <c r="L13" t="s">
        <v>58</v>
      </c>
      <c r="M13" t="s">
        <v>34</v>
      </c>
      <c r="N13">
        <v>0</v>
      </c>
      <c r="O13" t="s">
        <v>25</v>
      </c>
      <c r="P13">
        <v>2020</v>
      </c>
    </row>
    <row r="14" spans="1:16" x14ac:dyDescent="0.25">
      <c r="A14" t="s">
        <v>16</v>
      </c>
      <c r="C14" t="s">
        <v>59</v>
      </c>
      <c r="D14" t="s">
        <v>60</v>
      </c>
      <c r="E14" s="1">
        <v>44083</v>
      </c>
      <c r="F14" s="1"/>
      <c r="G14" t="s">
        <v>19</v>
      </c>
      <c r="H14" t="s">
        <v>20</v>
      </c>
      <c r="I14" t="s">
        <v>21</v>
      </c>
      <c r="J14" s="1">
        <v>46095</v>
      </c>
      <c r="K14" t="s">
        <v>22</v>
      </c>
      <c r="L14" t="s">
        <v>23</v>
      </c>
      <c r="M14" t="s">
        <v>61</v>
      </c>
      <c r="N14">
        <v>14</v>
      </c>
      <c r="O14" t="s">
        <v>25</v>
      </c>
      <c r="P14">
        <v>2020</v>
      </c>
    </row>
    <row r="15" spans="1:16" x14ac:dyDescent="0.25">
      <c r="A15" t="s">
        <v>16</v>
      </c>
      <c r="C15" t="s">
        <v>62</v>
      </c>
      <c r="D15" t="s">
        <v>63</v>
      </c>
      <c r="E15" s="1">
        <v>44090</v>
      </c>
      <c r="F15" s="1"/>
      <c r="G15" t="s">
        <v>51</v>
      </c>
      <c r="H15" t="s">
        <v>20</v>
      </c>
      <c r="I15" t="s">
        <v>41</v>
      </c>
      <c r="J15" s="1">
        <v>46288</v>
      </c>
      <c r="K15" t="s">
        <v>22</v>
      </c>
      <c r="L15" t="s">
        <v>33</v>
      </c>
      <c r="M15" t="s">
        <v>64</v>
      </c>
      <c r="N15">
        <v>0</v>
      </c>
      <c r="O15" t="s">
        <v>25</v>
      </c>
      <c r="P15">
        <v>2020</v>
      </c>
    </row>
    <row r="16" spans="1:16" x14ac:dyDescent="0.25">
      <c r="A16" t="s">
        <v>16</v>
      </c>
      <c r="C16" t="s">
        <v>65</v>
      </c>
      <c r="D16" t="s">
        <v>66</v>
      </c>
      <c r="E16" s="1">
        <v>44090</v>
      </c>
      <c r="F16" s="1"/>
      <c r="G16" t="s">
        <v>51</v>
      </c>
      <c r="H16" t="s">
        <v>20</v>
      </c>
      <c r="I16" t="s">
        <v>41</v>
      </c>
      <c r="J16" s="1">
        <v>46172</v>
      </c>
      <c r="K16" t="s">
        <v>22</v>
      </c>
      <c r="L16" t="s">
        <v>33</v>
      </c>
      <c r="M16" t="s">
        <v>64</v>
      </c>
      <c r="N16">
        <v>0</v>
      </c>
      <c r="O16" t="s">
        <v>25</v>
      </c>
      <c r="P16">
        <v>2020</v>
      </c>
    </row>
    <row r="17" spans="1:16" x14ac:dyDescent="0.25">
      <c r="A17" t="s">
        <v>16</v>
      </c>
      <c r="C17" t="s">
        <v>67</v>
      </c>
      <c r="D17" t="s">
        <v>68</v>
      </c>
      <c r="E17" s="1">
        <v>44090</v>
      </c>
      <c r="F17" s="1"/>
      <c r="G17" t="s">
        <v>48</v>
      </c>
      <c r="H17" t="s">
        <v>20</v>
      </c>
      <c r="I17" t="s">
        <v>21</v>
      </c>
      <c r="J17" s="1">
        <v>46216</v>
      </c>
      <c r="K17" t="s">
        <v>22</v>
      </c>
      <c r="L17" t="s">
        <v>33</v>
      </c>
      <c r="M17" t="s">
        <v>64</v>
      </c>
      <c r="N17">
        <v>0</v>
      </c>
      <c r="O17" t="s">
        <v>25</v>
      </c>
      <c r="P17">
        <v>2020</v>
      </c>
    </row>
    <row r="18" spans="1:16" x14ac:dyDescent="0.25">
      <c r="A18" t="s">
        <v>16</v>
      </c>
      <c r="C18" t="s">
        <v>69</v>
      </c>
      <c r="D18" t="s">
        <v>70</v>
      </c>
      <c r="E18" s="1">
        <v>44167</v>
      </c>
      <c r="F18" s="1"/>
      <c r="G18" t="s">
        <v>48</v>
      </c>
      <c r="H18" t="s">
        <v>20</v>
      </c>
      <c r="I18" t="s">
        <v>21</v>
      </c>
      <c r="J18" s="1">
        <v>46099</v>
      </c>
      <c r="K18" t="s">
        <v>22</v>
      </c>
      <c r="L18" t="s">
        <v>33</v>
      </c>
      <c r="M18" t="s">
        <v>34</v>
      </c>
      <c r="N18">
        <v>8</v>
      </c>
      <c r="O18" t="s">
        <v>25</v>
      </c>
      <c r="P18">
        <v>2020</v>
      </c>
    </row>
    <row r="19" spans="1:16" x14ac:dyDescent="0.25">
      <c r="A19" t="s">
        <v>16</v>
      </c>
      <c r="C19" t="s">
        <v>71</v>
      </c>
      <c r="D19" t="s">
        <v>72</v>
      </c>
      <c r="E19" s="1">
        <v>44257</v>
      </c>
      <c r="F19" s="1"/>
      <c r="G19" t="s">
        <v>40</v>
      </c>
      <c r="H19" t="s">
        <v>20</v>
      </c>
      <c r="I19" t="s">
        <v>21</v>
      </c>
      <c r="J19" s="1">
        <v>46026</v>
      </c>
      <c r="K19" t="s">
        <v>22</v>
      </c>
      <c r="L19" t="s">
        <v>23</v>
      </c>
      <c r="M19" t="s">
        <v>24</v>
      </c>
      <c r="N19">
        <v>10</v>
      </c>
      <c r="O19" t="s">
        <v>73</v>
      </c>
      <c r="P19">
        <v>2021</v>
      </c>
    </row>
    <row r="20" spans="1:16" x14ac:dyDescent="0.25">
      <c r="A20" t="s">
        <v>16</v>
      </c>
      <c r="C20" t="s">
        <v>74</v>
      </c>
      <c r="D20" t="s">
        <v>75</v>
      </c>
      <c r="E20" s="1">
        <v>44271</v>
      </c>
      <c r="F20" s="1"/>
      <c r="G20" t="s">
        <v>40</v>
      </c>
      <c r="H20" t="s">
        <v>20</v>
      </c>
      <c r="I20" t="s">
        <v>41</v>
      </c>
      <c r="J20" s="1">
        <v>46026</v>
      </c>
      <c r="K20" t="s">
        <v>22</v>
      </c>
      <c r="L20" t="s">
        <v>33</v>
      </c>
      <c r="M20" t="s">
        <v>24</v>
      </c>
      <c r="N20">
        <v>3.5</v>
      </c>
      <c r="O20" t="s">
        <v>73</v>
      </c>
      <c r="P20">
        <v>2021</v>
      </c>
    </row>
    <row r="21" spans="1:16" x14ac:dyDescent="0.25">
      <c r="A21" t="s">
        <v>16</v>
      </c>
      <c r="C21" t="s">
        <v>76</v>
      </c>
      <c r="D21" t="s">
        <v>77</v>
      </c>
      <c r="E21" s="1">
        <v>44343</v>
      </c>
      <c r="F21" s="1"/>
      <c r="G21" t="s">
        <v>51</v>
      </c>
      <c r="H21" t="s">
        <v>20</v>
      </c>
      <c r="I21" t="s">
        <v>41</v>
      </c>
      <c r="J21" s="1">
        <v>46255</v>
      </c>
      <c r="K21" t="s">
        <v>22</v>
      </c>
      <c r="L21" t="s">
        <v>33</v>
      </c>
      <c r="M21" t="s">
        <v>61</v>
      </c>
      <c r="N21">
        <v>7</v>
      </c>
      <c r="O21" t="s">
        <v>73</v>
      </c>
      <c r="P21">
        <v>2021</v>
      </c>
    </row>
    <row r="22" spans="1:16" x14ac:dyDescent="0.25">
      <c r="A22" t="s">
        <v>16</v>
      </c>
      <c r="C22" t="s">
        <v>78</v>
      </c>
      <c r="D22" t="s">
        <v>79</v>
      </c>
      <c r="E22" s="1">
        <v>44440</v>
      </c>
      <c r="F22" s="1"/>
      <c r="G22" t="s">
        <v>37</v>
      </c>
      <c r="H22" t="s">
        <v>20</v>
      </c>
      <c r="I22" t="s">
        <v>21</v>
      </c>
      <c r="J22" s="1">
        <v>46037</v>
      </c>
      <c r="K22" t="s">
        <v>22</v>
      </c>
      <c r="L22" t="s">
        <v>33</v>
      </c>
      <c r="M22" t="s">
        <v>24</v>
      </c>
      <c r="N22">
        <v>5</v>
      </c>
      <c r="O22" t="s">
        <v>73</v>
      </c>
      <c r="P22">
        <v>2021</v>
      </c>
    </row>
    <row r="23" spans="1:16" x14ac:dyDescent="0.25">
      <c r="A23" t="s">
        <v>16</v>
      </c>
      <c r="C23" t="s">
        <v>80</v>
      </c>
      <c r="D23" t="s">
        <v>81</v>
      </c>
      <c r="E23" s="1">
        <v>44448</v>
      </c>
      <c r="F23" s="1"/>
      <c r="G23" t="s">
        <v>19</v>
      </c>
      <c r="H23" t="s">
        <v>20</v>
      </c>
      <c r="I23" t="s">
        <v>41</v>
      </c>
      <c r="J23" s="1">
        <v>46333</v>
      </c>
      <c r="K23" t="s">
        <v>22</v>
      </c>
      <c r="L23" t="s">
        <v>58</v>
      </c>
      <c r="M23" t="s">
        <v>24</v>
      </c>
      <c r="N23">
        <v>0</v>
      </c>
      <c r="O23" t="s">
        <v>73</v>
      </c>
      <c r="P23">
        <v>2021</v>
      </c>
    </row>
    <row r="24" spans="1:16" x14ac:dyDescent="0.25">
      <c r="A24" t="s">
        <v>16</v>
      </c>
      <c r="C24" t="s">
        <v>82</v>
      </c>
      <c r="D24" t="s">
        <v>83</v>
      </c>
      <c r="E24" s="1">
        <v>44455</v>
      </c>
      <c r="F24" s="1"/>
      <c r="G24" t="s">
        <v>19</v>
      </c>
      <c r="H24" t="s">
        <v>20</v>
      </c>
      <c r="I24" t="s">
        <v>21</v>
      </c>
      <c r="J24" s="1">
        <v>46046</v>
      </c>
      <c r="K24" t="s">
        <v>22</v>
      </c>
      <c r="L24" t="s">
        <v>23</v>
      </c>
      <c r="M24" t="s">
        <v>24</v>
      </c>
      <c r="N24">
        <v>9</v>
      </c>
      <c r="O24" t="s">
        <v>73</v>
      </c>
      <c r="P24">
        <v>2021</v>
      </c>
    </row>
    <row r="25" spans="1:16" x14ac:dyDescent="0.25">
      <c r="A25" t="s">
        <v>16</v>
      </c>
      <c r="C25" t="s">
        <v>84</v>
      </c>
      <c r="D25" t="s">
        <v>85</v>
      </c>
      <c r="E25" s="1">
        <v>44455</v>
      </c>
      <c r="F25" s="1"/>
      <c r="G25" t="s">
        <v>40</v>
      </c>
      <c r="H25" t="s">
        <v>20</v>
      </c>
      <c r="I25" t="s">
        <v>21</v>
      </c>
      <c r="J25" s="1">
        <v>46362</v>
      </c>
      <c r="K25" t="s">
        <v>22</v>
      </c>
      <c r="L25" t="s">
        <v>58</v>
      </c>
      <c r="M25" t="s">
        <v>64</v>
      </c>
      <c r="N25">
        <v>0</v>
      </c>
      <c r="O25" t="s">
        <v>73</v>
      </c>
      <c r="P25">
        <v>2021</v>
      </c>
    </row>
    <row r="26" spans="1:16" x14ac:dyDescent="0.25">
      <c r="A26" t="s">
        <v>16</v>
      </c>
      <c r="C26" t="s">
        <v>86</v>
      </c>
      <c r="D26" t="s">
        <v>87</v>
      </c>
      <c r="E26" s="1">
        <v>44469</v>
      </c>
      <c r="F26" s="1"/>
      <c r="G26" t="s">
        <v>40</v>
      </c>
      <c r="H26" t="s">
        <v>20</v>
      </c>
      <c r="I26" t="s">
        <v>21</v>
      </c>
      <c r="J26" s="1">
        <v>46207</v>
      </c>
      <c r="K26" t="s">
        <v>22</v>
      </c>
      <c r="L26" t="s">
        <v>33</v>
      </c>
      <c r="M26" t="s">
        <v>24</v>
      </c>
      <c r="N26">
        <v>17</v>
      </c>
      <c r="O26" t="s">
        <v>73</v>
      </c>
      <c r="P26">
        <v>2021</v>
      </c>
    </row>
    <row r="27" spans="1:16" x14ac:dyDescent="0.25">
      <c r="A27" t="s">
        <v>16</v>
      </c>
      <c r="C27" t="s">
        <v>88</v>
      </c>
      <c r="D27" t="s">
        <v>89</v>
      </c>
      <c r="E27" s="1">
        <v>44518</v>
      </c>
      <c r="F27" s="1"/>
      <c r="G27" t="s">
        <v>40</v>
      </c>
      <c r="H27" t="s">
        <v>20</v>
      </c>
      <c r="I27" t="s">
        <v>21</v>
      </c>
      <c r="J27" s="1">
        <v>46101</v>
      </c>
      <c r="K27" t="s">
        <v>22</v>
      </c>
      <c r="L27" t="s">
        <v>33</v>
      </c>
      <c r="M27" t="s">
        <v>90</v>
      </c>
      <c r="N27">
        <v>14</v>
      </c>
      <c r="O27" t="s">
        <v>73</v>
      </c>
      <c r="P27">
        <v>2021</v>
      </c>
    </row>
    <row r="28" spans="1:16" x14ac:dyDescent="0.25">
      <c r="A28" t="s">
        <v>16</v>
      </c>
      <c r="C28" t="s">
        <v>91</v>
      </c>
      <c r="D28" t="s">
        <v>92</v>
      </c>
      <c r="E28" s="1">
        <v>44616</v>
      </c>
      <c r="F28" s="1"/>
      <c r="G28" t="s">
        <v>51</v>
      </c>
      <c r="H28" t="s">
        <v>20</v>
      </c>
      <c r="I28" t="s">
        <v>21</v>
      </c>
      <c r="J28" s="1">
        <v>46353</v>
      </c>
      <c r="K28" t="s">
        <v>45</v>
      </c>
      <c r="L28" t="s">
        <v>23</v>
      </c>
      <c r="M28" t="s">
        <v>24</v>
      </c>
      <c r="N28">
        <v>12</v>
      </c>
      <c r="O28" t="s">
        <v>93</v>
      </c>
      <c r="P28">
        <v>2022</v>
      </c>
    </row>
    <row r="29" spans="1:16" x14ac:dyDescent="0.25">
      <c r="A29" t="s">
        <v>16</v>
      </c>
      <c r="C29" t="s">
        <v>94</v>
      </c>
      <c r="D29" t="s">
        <v>95</v>
      </c>
      <c r="E29" s="1">
        <v>44623</v>
      </c>
      <c r="F29" s="1"/>
      <c r="G29" t="s">
        <v>53</v>
      </c>
      <c r="H29" t="s">
        <v>20</v>
      </c>
      <c r="I29" t="s">
        <v>41</v>
      </c>
      <c r="J29" s="1">
        <v>46252</v>
      </c>
      <c r="K29" t="s">
        <v>45</v>
      </c>
      <c r="L29" t="s">
        <v>33</v>
      </c>
      <c r="M29" t="s">
        <v>90</v>
      </c>
      <c r="N29">
        <v>14</v>
      </c>
      <c r="O29" t="s">
        <v>93</v>
      </c>
      <c r="P29">
        <v>2022</v>
      </c>
    </row>
    <row r="30" spans="1:16" x14ac:dyDescent="0.25">
      <c r="A30" t="s">
        <v>16</v>
      </c>
      <c r="C30" t="s">
        <v>96</v>
      </c>
      <c r="D30" t="s">
        <v>97</v>
      </c>
      <c r="E30" s="1">
        <v>44637</v>
      </c>
      <c r="F30" s="1"/>
      <c r="G30" t="s">
        <v>40</v>
      </c>
      <c r="H30" t="s">
        <v>20</v>
      </c>
      <c r="I30" t="s">
        <v>21</v>
      </c>
      <c r="J30" s="1">
        <v>46056</v>
      </c>
      <c r="K30" t="s">
        <v>45</v>
      </c>
      <c r="L30" t="s">
        <v>33</v>
      </c>
      <c r="M30" t="s">
        <v>90</v>
      </c>
      <c r="N30">
        <v>5.3</v>
      </c>
      <c r="O30" t="s">
        <v>93</v>
      </c>
      <c r="P30">
        <v>2022</v>
      </c>
    </row>
    <row r="31" spans="1:16" x14ac:dyDescent="0.25">
      <c r="A31" t="s">
        <v>16</v>
      </c>
      <c r="C31" t="s">
        <v>98</v>
      </c>
      <c r="D31" t="s">
        <v>99</v>
      </c>
      <c r="E31" s="1">
        <v>44644</v>
      </c>
      <c r="F31" s="1"/>
      <c r="G31" t="s">
        <v>37</v>
      </c>
      <c r="H31" t="s">
        <v>20</v>
      </c>
      <c r="I31" t="s">
        <v>41</v>
      </c>
      <c r="J31" s="1">
        <v>46228</v>
      </c>
      <c r="K31" t="s">
        <v>22</v>
      </c>
      <c r="L31" t="s">
        <v>58</v>
      </c>
      <c r="M31" t="s">
        <v>90</v>
      </c>
      <c r="N31">
        <v>2.5</v>
      </c>
      <c r="O31" t="s">
        <v>93</v>
      </c>
      <c r="P31">
        <v>2022</v>
      </c>
    </row>
    <row r="32" spans="1:16" x14ac:dyDescent="0.25">
      <c r="A32" t="s">
        <v>16</v>
      </c>
      <c r="C32" t="s">
        <v>100</v>
      </c>
      <c r="D32" t="s">
        <v>101</v>
      </c>
      <c r="E32" s="1">
        <v>44644</v>
      </c>
      <c r="F32" s="1"/>
      <c r="G32" t="s">
        <v>40</v>
      </c>
      <c r="H32" t="s">
        <v>20</v>
      </c>
      <c r="I32" t="s">
        <v>21</v>
      </c>
      <c r="J32" s="1">
        <v>46148</v>
      </c>
      <c r="K32" t="s">
        <v>22</v>
      </c>
      <c r="L32" t="s">
        <v>33</v>
      </c>
      <c r="M32" t="s">
        <v>90</v>
      </c>
      <c r="N32">
        <v>2.11</v>
      </c>
      <c r="O32" t="s">
        <v>93</v>
      </c>
      <c r="P32">
        <v>2022</v>
      </c>
    </row>
    <row r="33" spans="1:16" x14ac:dyDescent="0.25">
      <c r="A33" t="s">
        <v>16</v>
      </c>
      <c r="C33" t="s">
        <v>102</v>
      </c>
      <c r="D33" t="s">
        <v>103</v>
      </c>
      <c r="E33" s="1">
        <v>44658</v>
      </c>
      <c r="F33" s="1"/>
      <c r="G33" t="s">
        <v>40</v>
      </c>
      <c r="H33" t="s">
        <v>20</v>
      </c>
      <c r="I33" t="s">
        <v>41</v>
      </c>
      <c r="J33" s="1">
        <v>46040</v>
      </c>
      <c r="K33" t="s">
        <v>22</v>
      </c>
      <c r="L33" t="s">
        <v>58</v>
      </c>
      <c r="M33" t="s">
        <v>90</v>
      </c>
      <c r="N33">
        <v>0</v>
      </c>
      <c r="O33" t="s">
        <v>93</v>
      </c>
      <c r="P33">
        <v>2022</v>
      </c>
    </row>
    <row r="34" spans="1:16" x14ac:dyDescent="0.25">
      <c r="A34" t="s">
        <v>16</v>
      </c>
      <c r="C34" t="s">
        <v>104</v>
      </c>
      <c r="D34" t="s">
        <v>105</v>
      </c>
      <c r="E34" s="1">
        <v>44658</v>
      </c>
      <c r="F34" s="1"/>
      <c r="G34" t="s">
        <v>40</v>
      </c>
      <c r="H34" t="s">
        <v>20</v>
      </c>
      <c r="I34" t="s">
        <v>21</v>
      </c>
      <c r="J34" s="1">
        <v>46350</v>
      </c>
      <c r="K34" t="s">
        <v>45</v>
      </c>
      <c r="L34" t="s">
        <v>33</v>
      </c>
      <c r="M34" t="s">
        <v>90</v>
      </c>
      <c r="N34">
        <v>15</v>
      </c>
      <c r="O34" t="s">
        <v>93</v>
      </c>
      <c r="P34">
        <v>2022</v>
      </c>
    </row>
    <row r="35" spans="1:16" x14ac:dyDescent="0.25">
      <c r="A35" t="s">
        <v>16</v>
      </c>
      <c r="C35" t="s">
        <v>106</v>
      </c>
      <c r="D35" t="s">
        <v>107</v>
      </c>
      <c r="E35" s="1">
        <v>44665</v>
      </c>
      <c r="F35" s="1"/>
      <c r="G35" t="s">
        <v>44</v>
      </c>
      <c r="H35" t="s">
        <v>20</v>
      </c>
      <c r="I35" t="s">
        <v>21</v>
      </c>
      <c r="J35" s="1">
        <v>46309</v>
      </c>
      <c r="K35" t="s">
        <v>45</v>
      </c>
      <c r="L35" t="s">
        <v>23</v>
      </c>
      <c r="M35" t="s">
        <v>64</v>
      </c>
      <c r="N35">
        <v>14</v>
      </c>
      <c r="O35" t="s">
        <v>93</v>
      </c>
      <c r="P35">
        <v>2022</v>
      </c>
    </row>
    <row r="36" spans="1:16" x14ac:dyDescent="0.25">
      <c r="A36" t="s">
        <v>16</v>
      </c>
      <c r="C36" t="s">
        <v>108</v>
      </c>
      <c r="D36" t="s">
        <v>109</v>
      </c>
      <c r="E36" s="1">
        <v>44670</v>
      </c>
      <c r="F36" s="1"/>
      <c r="G36" t="s">
        <v>53</v>
      </c>
      <c r="H36" t="s">
        <v>20</v>
      </c>
      <c r="I36" t="s">
        <v>21</v>
      </c>
      <c r="J36" s="1">
        <v>46272</v>
      </c>
      <c r="K36" t="s">
        <v>45</v>
      </c>
      <c r="L36" t="s">
        <v>33</v>
      </c>
      <c r="M36" t="s">
        <v>24</v>
      </c>
      <c r="N36">
        <v>8</v>
      </c>
      <c r="O36" t="s">
        <v>93</v>
      </c>
      <c r="P36">
        <v>2022</v>
      </c>
    </row>
    <row r="37" spans="1:16" x14ac:dyDescent="0.25">
      <c r="A37" t="s">
        <v>16</v>
      </c>
      <c r="C37" t="s">
        <v>110</v>
      </c>
      <c r="D37" t="s">
        <v>111</v>
      </c>
      <c r="E37" s="1">
        <v>44763</v>
      </c>
      <c r="F37" s="1"/>
      <c r="G37" t="s">
        <v>40</v>
      </c>
      <c r="H37" t="s">
        <v>20</v>
      </c>
      <c r="I37" t="s">
        <v>21</v>
      </c>
      <c r="J37" s="1">
        <v>46074</v>
      </c>
      <c r="K37" t="s">
        <v>45</v>
      </c>
      <c r="L37" t="s">
        <v>33</v>
      </c>
      <c r="M37" t="s">
        <v>90</v>
      </c>
      <c r="N37">
        <v>6.5</v>
      </c>
      <c r="O37" t="s">
        <v>93</v>
      </c>
      <c r="P37">
        <v>2022</v>
      </c>
    </row>
    <row r="38" spans="1:16" x14ac:dyDescent="0.25">
      <c r="A38" t="s">
        <v>16</v>
      </c>
      <c r="C38" t="s">
        <v>112</v>
      </c>
      <c r="D38" t="s">
        <v>113</v>
      </c>
      <c r="E38" s="1">
        <v>44805</v>
      </c>
      <c r="F38" s="1"/>
      <c r="G38" t="s">
        <v>40</v>
      </c>
      <c r="H38" t="s">
        <v>20</v>
      </c>
      <c r="I38" t="s">
        <v>41</v>
      </c>
      <c r="J38" s="1">
        <v>46321</v>
      </c>
      <c r="K38" t="s">
        <v>22</v>
      </c>
      <c r="L38" t="s">
        <v>58</v>
      </c>
      <c r="M38" t="s">
        <v>90</v>
      </c>
      <c r="N38">
        <v>3.5</v>
      </c>
      <c r="O38" t="s">
        <v>93</v>
      </c>
      <c r="P38">
        <v>2022</v>
      </c>
    </row>
    <row r="39" spans="1:16" x14ac:dyDescent="0.25">
      <c r="A39" t="s">
        <v>16</v>
      </c>
      <c r="C39" t="s">
        <v>114</v>
      </c>
      <c r="D39" t="s">
        <v>115</v>
      </c>
      <c r="E39" s="1">
        <v>44805</v>
      </c>
      <c r="F39" s="1"/>
      <c r="G39" t="s">
        <v>40</v>
      </c>
      <c r="H39" t="s">
        <v>20</v>
      </c>
      <c r="I39" t="s">
        <v>41</v>
      </c>
      <c r="J39" s="1">
        <v>46298</v>
      </c>
      <c r="K39" t="s">
        <v>22</v>
      </c>
      <c r="L39" t="s">
        <v>58</v>
      </c>
      <c r="M39" t="s">
        <v>90</v>
      </c>
      <c r="N39">
        <v>0</v>
      </c>
      <c r="O39" t="s">
        <v>93</v>
      </c>
      <c r="P39">
        <v>2022</v>
      </c>
    </row>
    <row r="40" spans="1:16" x14ac:dyDescent="0.25">
      <c r="A40" t="s">
        <v>16</v>
      </c>
      <c r="C40" t="s">
        <v>116</v>
      </c>
      <c r="D40" t="s">
        <v>117</v>
      </c>
      <c r="E40" s="1">
        <v>44805</v>
      </c>
      <c r="F40" s="1"/>
      <c r="G40" t="s">
        <v>37</v>
      </c>
      <c r="H40" t="s">
        <v>20</v>
      </c>
      <c r="I40" t="s">
        <v>21</v>
      </c>
      <c r="J40" s="1">
        <v>46034</v>
      </c>
      <c r="K40" t="s">
        <v>22</v>
      </c>
      <c r="L40" t="s">
        <v>58</v>
      </c>
      <c r="M40" t="s">
        <v>90</v>
      </c>
      <c r="N40">
        <v>2</v>
      </c>
      <c r="O40" t="s">
        <v>93</v>
      </c>
      <c r="P40">
        <v>2022</v>
      </c>
    </row>
    <row r="41" spans="1:16" x14ac:dyDescent="0.25">
      <c r="A41" t="s">
        <v>16</v>
      </c>
      <c r="C41" t="s">
        <v>118</v>
      </c>
      <c r="D41" t="s">
        <v>119</v>
      </c>
      <c r="E41" s="1">
        <v>44805</v>
      </c>
      <c r="F41" s="1"/>
      <c r="G41" t="s">
        <v>40</v>
      </c>
      <c r="H41" t="s">
        <v>20</v>
      </c>
      <c r="I41" t="s">
        <v>21</v>
      </c>
      <c r="J41" s="1">
        <v>46041</v>
      </c>
      <c r="K41" t="s">
        <v>45</v>
      </c>
      <c r="L41" t="s">
        <v>33</v>
      </c>
      <c r="M41" t="s">
        <v>90</v>
      </c>
      <c r="N41">
        <v>13</v>
      </c>
      <c r="O41" t="s">
        <v>93</v>
      </c>
      <c r="P41">
        <v>2022</v>
      </c>
    </row>
    <row r="42" spans="1:16" x14ac:dyDescent="0.25">
      <c r="A42" t="s">
        <v>16</v>
      </c>
      <c r="C42" t="s">
        <v>120</v>
      </c>
      <c r="D42" t="s">
        <v>121</v>
      </c>
      <c r="E42" s="1">
        <v>44819</v>
      </c>
      <c r="F42" s="1"/>
      <c r="G42" t="s">
        <v>37</v>
      </c>
      <c r="H42" t="s">
        <v>20</v>
      </c>
      <c r="I42" t="s">
        <v>41</v>
      </c>
      <c r="J42" s="1">
        <v>46055</v>
      </c>
      <c r="K42" t="s">
        <v>45</v>
      </c>
      <c r="L42" t="s">
        <v>33</v>
      </c>
      <c r="M42" t="s">
        <v>90</v>
      </c>
      <c r="N42">
        <v>8.1999999999999993</v>
      </c>
      <c r="O42" t="s">
        <v>93</v>
      </c>
      <c r="P42">
        <v>2022</v>
      </c>
    </row>
    <row r="43" spans="1:16" x14ac:dyDescent="0.25">
      <c r="A43" t="s">
        <v>16</v>
      </c>
      <c r="C43" t="s">
        <v>122</v>
      </c>
      <c r="D43" t="s">
        <v>123</v>
      </c>
      <c r="E43" s="1">
        <v>44840</v>
      </c>
      <c r="F43" s="1"/>
      <c r="G43" t="s">
        <v>40</v>
      </c>
      <c r="H43" t="s">
        <v>20</v>
      </c>
      <c r="I43" t="s">
        <v>21</v>
      </c>
      <c r="J43" s="1">
        <v>46152</v>
      </c>
      <c r="K43" t="s">
        <v>22</v>
      </c>
      <c r="L43" t="s">
        <v>58</v>
      </c>
      <c r="M43" t="s">
        <v>90</v>
      </c>
      <c r="N43">
        <v>7.6</v>
      </c>
      <c r="O43" t="s">
        <v>93</v>
      </c>
      <c r="P43">
        <v>2022</v>
      </c>
    </row>
    <row r="44" spans="1:16" x14ac:dyDescent="0.25">
      <c r="A44" t="s">
        <v>16</v>
      </c>
      <c r="C44" t="s">
        <v>124</v>
      </c>
      <c r="D44" t="s">
        <v>125</v>
      </c>
      <c r="E44" s="1">
        <v>44847</v>
      </c>
      <c r="F44" s="1"/>
      <c r="G44" t="s">
        <v>40</v>
      </c>
      <c r="H44" t="s">
        <v>20</v>
      </c>
      <c r="I44" t="s">
        <v>21</v>
      </c>
      <c r="J44" s="1">
        <v>46259</v>
      </c>
      <c r="K44" t="s">
        <v>22</v>
      </c>
      <c r="L44" t="s">
        <v>58</v>
      </c>
      <c r="M44" t="s">
        <v>90</v>
      </c>
      <c r="N44">
        <v>6.2</v>
      </c>
      <c r="O44" t="s">
        <v>93</v>
      </c>
      <c r="P44">
        <v>2022</v>
      </c>
    </row>
    <row r="45" spans="1:16" x14ac:dyDescent="0.25">
      <c r="A45" t="s">
        <v>16</v>
      </c>
      <c r="C45" t="s">
        <v>126</v>
      </c>
      <c r="D45" t="s">
        <v>127</v>
      </c>
      <c r="E45" s="1">
        <v>45036</v>
      </c>
      <c r="F45" s="1"/>
      <c r="G45" t="s">
        <v>51</v>
      </c>
      <c r="H45" t="s">
        <v>20</v>
      </c>
      <c r="I45" t="s">
        <v>41</v>
      </c>
      <c r="J45" s="1">
        <v>46093</v>
      </c>
      <c r="K45" t="s">
        <v>45</v>
      </c>
      <c r="L45" t="s">
        <v>33</v>
      </c>
      <c r="M45" t="s">
        <v>24</v>
      </c>
      <c r="N45">
        <v>8</v>
      </c>
      <c r="O45" t="s">
        <v>128</v>
      </c>
      <c r="P45">
        <v>2023</v>
      </c>
    </row>
    <row r="46" spans="1:16" x14ac:dyDescent="0.25">
      <c r="A46" t="s">
        <v>16</v>
      </c>
      <c r="C46" t="s">
        <v>129</v>
      </c>
      <c r="D46" t="s">
        <v>130</v>
      </c>
      <c r="E46" s="1">
        <v>45064</v>
      </c>
      <c r="F46" s="1"/>
      <c r="G46" t="s">
        <v>51</v>
      </c>
      <c r="H46" t="s">
        <v>20</v>
      </c>
      <c r="I46" t="s">
        <v>21</v>
      </c>
      <c r="J46" s="1">
        <v>46090</v>
      </c>
      <c r="K46" t="s">
        <v>22</v>
      </c>
      <c r="L46" t="s">
        <v>33</v>
      </c>
      <c r="M46" t="s">
        <v>24</v>
      </c>
      <c r="N46">
        <v>3.5</v>
      </c>
      <c r="O46" t="s">
        <v>128</v>
      </c>
      <c r="P46">
        <v>2023</v>
      </c>
    </row>
    <row r="47" spans="1:16" x14ac:dyDescent="0.25">
      <c r="A47" t="s">
        <v>16</v>
      </c>
      <c r="C47" t="s">
        <v>131</v>
      </c>
      <c r="D47" t="s">
        <v>132</v>
      </c>
      <c r="E47" s="1">
        <v>45106</v>
      </c>
      <c r="F47" s="1"/>
      <c r="G47" t="s">
        <v>51</v>
      </c>
      <c r="H47" t="s">
        <v>20</v>
      </c>
      <c r="I47" t="s">
        <v>21</v>
      </c>
      <c r="J47" s="1">
        <v>46234</v>
      </c>
      <c r="K47" t="s">
        <v>45</v>
      </c>
      <c r="L47" t="s">
        <v>58</v>
      </c>
      <c r="M47" t="s">
        <v>64</v>
      </c>
      <c r="N47">
        <v>7</v>
      </c>
      <c r="O47" t="s">
        <v>128</v>
      </c>
      <c r="P47">
        <v>2023</v>
      </c>
    </row>
    <row r="48" spans="1:16" x14ac:dyDescent="0.25">
      <c r="A48" t="s">
        <v>16</v>
      </c>
      <c r="C48" t="s">
        <v>133</v>
      </c>
      <c r="D48" t="s">
        <v>134</v>
      </c>
      <c r="E48" s="1">
        <v>45111</v>
      </c>
      <c r="F48" s="1"/>
      <c r="G48" t="s">
        <v>51</v>
      </c>
      <c r="H48" t="s">
        <v>20</v>
      </c>
      <c r="I48" t="s">
        <v>41</v>
      </c>
      <c r="J48" s="1">
        <v>46090</v>
      </c>
      <c r="K48" t="s">
        <v>22</v>
      </c>
      <c r="L48" t="s">
        <v>58</v>
      </c>
      <c r="M48" t="s">
        <v>24</v>
      </c>
      <c r="N48">
        <v>5</v>
      </c>
      <c r="O48" t="s">
        <v>128</v>
      </c>
      <c r="P48">
        <v>2023</v>
      </c>
    </row>
    <row r="49" spans="1:16" x14ac:dyDescent="0.25">
      <c r="A49" t="s">
        <v>16</v>
      </c>
      <c r="C49" t="s">
        <v>135</v>
      </c>
      <c r="D49" t="s">
        <v>136</v>
      </c>
      <c r="E49" s="1">
        <v>45120</v>
      </c>
      <c r="F49" s="1"/>
      <c r="G49" t="s">
        <v>51</v>
      </c>
      <c r="H49" t="s">
        <v>20</v>
      </c>
      <c r="I49" t="s">
        <v>41</v>
      </c>
      <c r="J49" s="1">
        <v>46051</v>
      </c>
      <c r="K49" t="s">
        <v>22</v>
      </c>
      <c r="L49" t="s">
        <v>58</v>
      </c>
      <c r="M49" t="s">
        <v>61</v>
      </c>
      <c r="N49">
        <v>3.8</v>
      </c>
      <c r="O49" t="s">
        <v>128</v>
      </c>
      <c r="P49">
        <v>2023</v>
      </c>
    </row>
    <row r="50" spans="1:16" x14ac:dyDescent="0.25">
      <c r="A50" t="s">
        <v>16</v>
      </c>
      <c r="C50" t="s">
        <v>137</v>
      </c>
      <c r="D50" t="s">
        <v>138</v>
      </c>
      <c r="E50" s="1">
        <v>45125</v>
      </c>
      <c r="F50" s="1"/>
      <c r="G50" t="s">
        <v>51</v>
      </c>
      <c r="H50" t="s">
        <v>20</v>
      </c>
      <c r="I50" t="s">
        <v>41</v>
      </c>
      <c r="J50" s="1">
        <v>46073</v>
      </c>
      <c r="K50" t="s">
        <v>22</v>
      </c>
      <c r="L50" t="s">
        <v>33</v>
      </c>
      <c r="M50" t="s">
        <v>64</v>
      </c>
      <c r="N50">
        <v>6.5</v>
      </c>
      <c r="O50" t="s">
        <v>128</v>
      </c>
      <c r="P50">
        <v>2023</v>
      </c>
    </row>
    <row r="51" spans="1:16" x14ac:dyDescent="0.25">
      <c r="A51" t="s">
        <v>16</v>
      </c>
      <c r="C51" t="s">
        <v>139</v>
      </c>
      <c r="D51" t="s">
        <v>140</v>
      </c>
      <c r="E51" s="1">
        <v>45134</v>
      </c>
      <c r="F51" s="1"/>
      <c r="G51" t="s">
        <v>51</v>
      </c>
      <c r="H51" t="s">
        <v>20</v>
      </c>
      <c r="I51" t="s">
        <v>41</v>
      </c>
      <c r="J51" s="1">
        <v>46227</v>
      </c>
      <c r="K51" t="s">
        <v>45</v>
      </c>
      <c r="L51" t="s">
        <v>33</v>
      </c>
      <c r="M51" t="s">
        <v>64</v>
      </c>
      <c r="N51">
        <v>8</v>
      </c>
      <c r="O51" t="s">
        <v>128</v>
      </c>
      <c r="P51">
        <v>2023</v>
      </c>
    </row>
    <row r="52" spans="1:16" x14ac:dyDescent="0.25">
      <c r="A52" t="s">
        <v>16</v>
      </c>
      <c r="C52" t="s">
        <v>141</v>
      </c>
      <c r="D52" t="s">
        <v>142</v>
      </c>
      <c r="E52" s="1">
        <v>45139</v>
      </c>
      <c r="F52" s="1"/>
      <c r="G52" t="s">
        <v>37</v>
      </c>
      <c r="H52" t="s">
        <v>20</v>
      </c>
      <c r="I52" t="s">
        <v>41</v>
      </c>
      <c r="J52" s="1">
        <v>46280</v>
      </c>
      <c r="K52" t="s">
        <v>22</v>
      </c>
      <c r="L52" t="s">
        <v>58</v>
      </c>
      <c r="M52" t="s">
        <v>90</v>
      </c>
      <c r="N52">
        <v>1.5</v>
      </c>
      <c r="O52" t="s">
        <v>128</v>
      </c>
      <c r="P52">
        <v>2023</v>
      </c>
    </row>
    <row r="53" spans="1:16" x14ac:dyDescent="0.25">
      <c r="A53" t="s">
        <v>16</v>
      </c>
      <c r="C53" t="s">
        <v>143</v>
      </c>
      <c r="D53" t="s">
        <v>144</v>
      </c>
      <c r="E53" s="1">
        <v>45141</v>
      </c>
      <c r="F53" s="1"/>
      <c r="G53" t="s">
        <v>37</v>
      </c>
      <c r="H53" t="s">
        <v>20</v>
      </c>
      <c r="I53" t="s">
        <v>21</v>
      </c>
      <c r="J53" s="1">
        <v>46157</v>
      </c>
      <c r="K53" t="s">
        <v>22</v>
      </c>
      <c r="L53" t="s">
        <v>33</v>
      </c>
      <c r="M53" t="s">
        <v>90</v>
      </c>
      <c r="N53">
        <v>7</v>
      </c>
      <c r="O53" t="s">
        <v>128</v>
      </c>
      <c r="P53">
        <v>2023</v>
      </c>
    </row>
    <row r="54" spans="1:16" x14ac:dyDescent="0.25">
      <c r="A54" t="s">
        <v>16</v>
      </c>
      <c r="C54" t="s">
        <v>145</v>
      </c>
      <c r="D54" t="s">
        <v>146</v>
      </c>
      <c r="E54" s="1">
        <v>45154</v>
      </c>
      <c r="F54" s="1"/>
      <c r="G54" t="s">
        <v>51</v>
      </c>
      <c r="H54" t="s">
        <v>20</v>
      </c>
      <c r="I54" t="s">
        <v>41</v>
      </c>
      <c r="J54" s="1">
        <v>46081</v>
      </c>
      <c r="K54" t="s">
        <v>45</v>
      </c>
      <c r="L54" t="s">
        <v>33</v>
      </c>
      <c r="M54" t="s">
        <v>24</v>
      </c>
      <c r="N54">
        <v>15</v>
      </c>
      <c r="O54" t="s">
        <v>128</v>
      </c>
      <c r="P54">
        <v>2023</v>
      </c>
    </row>
    <row r="55" spans="1:16" x14ac:dyDescent="0.25">
      <c r="A55" t="s">
        <v>16</v>
      </c>
      <c r="C55" t="s">
        <v>147</v>
      </c>
      <c r="D55" t="s">
        <v>148</v>
      </c>
      <c r="E55" s="1">
        <v>45181</v>
      </c>
      <c r="F55" s="1"/>
      <c r="G55" t="s">
        <v>51</v>
      </c>
      <c r="H55" t="s">
        <v>20</v>
      </c>
      <c r="I55" t="s">
        <v>21</v>
      </c>
      <c r="J55" s="1">
        <v>46291</v>
      </c>
      <c r="K55" t="s">
        <v>45</v>
      </c>
      <c r="L55" t="s">
        <v>33</v>
      </c>
      <c r="M55" t="s">
        <v>28</v>
      </c>
      <c r="N55">
        <v>10.7</v>
      </c>
      <c r="O55" t="s">
        <v>128</v>
      </c>
      <c r="P55">
        <v>2023</v>
      </c>
    </row>
    <row r="56" spans="1:16" x14ac:dyDescent="0.25">
      <c r="A56" t="s">
        <v>16</v>
      </c>
      <c r="C56" t="s">
        <v>149</v>
      </c>
      <c r="D56" t="s">
        <v>150</v>
      </c>
      <c r="E56" s="1">
        <v>45195</v>
      </c>
      <c r="F56" s="1"/>
      <c r="G56" t="s">
        <v>40</v>
      </c>
      <c r="H56" t="s">
        <v>20</v>
      </c>
      <c r="I56" t="s">
        <v>41</v>
      </c>
      <c r="J56" s="1">
        <v>46378</v>
      </c>
      <c r="K56" t="s">
        <v>22</v>
      </c>
      <c r="L56" t="s">
        <v>58</v>
      </c>
      <c r="M56" t="s">
        <v>90</v>
      </c>
      <c r="N56">
        <v>2</v>
      </c>
      <c r="O56" t="s">
        <v>128</v>
      </c>
      <c r="P56">
        <v>2023</v>
      </c>
    </row>
    <row r="57" spans="1:16" x14ac:dyDescent="0.25">
      <c r="A57" t="s">
        <v>16</v>
      </c>
      <c r="C57" t="s">
        <v>151</v>
      </c>
      <c r="D57" t="s">
        <v>152</v>
      </c>
      <c r="E57" s="1">
        <v>45265</v>
      </c>
      <c r="F57" s="1"/>
      <c r="G57" t="s">
        <v>51</v>
      </c>
      <c r="H57" t="s">
        <v>20</v>
      </c>
      <c r="I57" t="s">
        <v>21</v>
      </c>
      <c r="J57" s="1">
        <v>46042</v>
      </c>
      <c r="K57" t="s">
        <v>22</v>
      </c>
      <c r="L57" t="s">
        <v>58</v>
      </c>
      <c r="M57" t="s">
        <v>153</v>
      </c>
      <c r="N57">
        <v>3.5</v>
      </c>
      <c r="O57" t="s">
        <v>128</v>
      </c>
      <c r="P57">
        <v>2023</v>
      </c>
    </row>
    <row r="58" spans="1:16" x14ac:dyDescent="0.25">
      <c r="A58" t="s">
        <v>16</v>
      </c>
      <c r="C58" t="s">
        <v>154</v>
      </c>
      <c r="D58" t="s">
        <v>155</v>
      </c>
      <c r="E58" s="1">
        <v>45265</v>
      </c>
      <c r="F58" s="1"/>
      <c r="G58" t="s">
        <v>51</v>
      </c>
      <c r="H58" t="s">
        <v>20</v>
      </c>
      <c r="I58" t="s">
        <v>41</v>
      </c>
      <c r="J58" s="1">
        <v>46247</v>
      </c>
      <c r="K58" t="s">
        <v>22</v>
      </c>
      <c r="L58" t="s">
        <v>58</v>
      </c>
      <c r="M58" t="s">
        <v>153</v>
      </c>
      <c r="N58">
        <v>1.5</v>
      </c>
      <c r="O58" t="s">
        <v>128</v>
      </c>
      <c r="P58">
        <v>2023</v>
      </c>
    </row>
    <row r="59" spans="1:16" x14ac:dyDescent="0.25">
      <c r="A59" t="s">
        <v>16</v>
      </c>
      <c r="C59" t="s">
        <v>156</v>
      </c>
      <c r="D59" t="s">
        <v>157</v>
      </c>
      <c r="E59" s="1">
        <v>45267</v>
      </c>
      <c r="F59" s="1"/>
      <c r="G59" t="s">
        <v>51</v>
      </c>
      <c r="H59" t="s">
        <v>20</v>
      </c>
      <c r="I59" t="s">
        <v>41</v>
      </c>
      <c r="J59" s="1">
        <v>46083</v>
      </c>
      <c r="K59" t="s">
        <v>45</v>
      </c>
      <c r="L59" t="s">
        <v>33</v>
      </c>
      <c r="M59" t="s">
        <v>61</v>
      </c>
      <c r="N59">
        <v>10.9</v>
      </c>
      <c r="O59" t="s">
        <v>128</v>
      </c>
      <c r="P59">
        <v>2023</v>
      </c>
    </row>
    <row r="60" spans="1:16" x14ac:dyDescent="0.25">
      <c r="A60" t="s">
        <v>16</v>
      </c>
      <c r="C60" t="s">
        <v>158</v>
      </c>
      <c r="D60" t="s">
        <v>44</v>
      </c>
      <c r="E60" s="1">
        <v>45272</v>
      </c>
      <c r="F60" s="1"/>
      <c r="G60" t="s">
        <v>53</v>
      </c>
      <c r="H60" t="s">
        <v>20</v>
      </c>
      <c r="I60" t="s">
        <v>41</v>
      </c>
      <c r="J60" s="1">
        <v>46225</v>
      </c>
      <c r="K60" t="s">
        <v>45</v>
      </c>
      <c r="L60" t="s">
        <v>58</v>
      </c>
      <c r="M60" t="s">
        <v>64</v>
      </c>
      <c r="N60">
        <v>2.8</v>
      </c>
      <c r="O60" t="s">
        <v>128</v>
      </c>
      <c r="P60">
        <v>2023</v>
      </c>
    </row>
    <row r="61" spans="1:16" x14ac:dyDescent="0.25">
      <c r="A61" t="s">
        <v>16</v>
      </c>
      <c r="C61" t="s">
        <v>159</v>
      </c>
      <c r="D61" t="s">
        <v>160</v>
      </c>
      <c r="E61" s="1">
        <v>45279</v>
      </c>
      <c r="F61" s="1"/>
      <c r="G61" t="s">
        <v>51</v>
      </c>
      <c r="H61" t="s">
        <v>20</v>
      </c>
      <c r="I61" t="s">
        <v>41</v>
      </c>
      <c r="J61" s="1">
        <v>46074</v>
      </c>
      <c r="K61" t="s">
        <v>22</v>
      </c>
      <c r="L61" t="s">
        <v>58</v>
      </c>
      <c r="M61" t="s">
        <v>153</v>
      </c>
      <c r="N61">
        <v>0</v>
      </c>
      <c r="O61" t="s">
        <v>128</v>
      </c>
      <c r="P61">
        <v>2023</v>
      </c>
    </row>
    <row r="62" spans="1:16" x14ac:dyDescent="0.25">
      <c r="A62" t="s">
        <v>16</v>
      </c>
      <c r="C62" t="s">
        <v>161</v>
      </c>
      <c r="D62" t="s">
        <v>162</v>
      </c>
      <c r="E62" s="1">
        <v>45288</v>
      </c>
      <c r="F62" s="1"/>
      <c r="G62" t="s">
        <v>53</v>
      </c>
      <c r="H62" t="s">
        <v>20</v>
      </c>
      <c r="I62" t="s">
        <v>41</v>
      </c>
      <c r="J62" s="1">
        <v>46129</v>
      </c>
      <c r="K62" t="s">
        <v>22</v>
      </c>
      <c r="L62" t="s">
        <v>58</v>
      </c>
      <c r="M62" t="s">
        <v>64</v>
      </c>
      <c r="N62">
        <v>0</v>
      </c>
      <c r="O62" t="s">
        <v>128</v>
      </c>
      <c r="P62">
        <v>2023</v>
      </c>
    </row>
    <row r="63" spans="1:16" x14ac:dyDescent="0.25">
      <c r="A63" t="s">
        <v>16</v>
      </c>
      <c r="C63" t="s">
        <v>163</v>
      </c>
      <c r="D63" t="s">
        <v>164</v>
      </c>
      <c r="E63" s="1">
        <v>45302</v>
      </c>
      <c r="F63" s="1"/>
      <c r="G63" t="s">
        <v>51</v>
      </c>
      <c r="H63" t="s">
        <v>20</v>
      </c>
      <c r="I63" t="s">
        <v>21</v>
      </c>
      <c r="J63" s="1">
        <v>46240</v>
      </c>
      <c r="K63" t="s">
        <v>22</v>
      </c>
      <c r="L63" t="s">
        <v>58</v>
      </c>
      <c r="M63" t="s">
        <v>153</v>
      </c>
      <c r="N63">
        <v>3.5</v>
      </c>
      <c r="O63" t="s">
        <v>128</v>
      </c>
      <c r="P63">
        <v>2024</v>
      </c>
    </row>
    <row r="64" spans="1:16" x14ac:dyDescent="0.25">
      <c r="A64" t="s">
        <v>16</v>
      </c>
      <c r="C64" t="s">
        <v>165</v>
      </c>
      <c r="D64" t="s">
        <v>166</v>
      </c>
      <c r="E64" s="1">
        <v>45302</v>
      </c>
      <c r="F64" s="1"/>
      <c r="G64" t="s">
        <v>37</v>
      </c>
      <c r="H64" t="s">
        <v>20</v>
      </c>
      <c r="I64" t="s">
        <v>21</v>
      </c>
      <c r="J64" s="1">
        <v>46259</v>
      </c>
      <c r="K64" t="s">
        <v>22</v>
      </c>
      <c r="L64" t="s">
        <v>58</v>
      </c>
      <c r="M64" t="s">
        <v>64</v>
      </c>
      <c r="N64">
        <v>14</v>
      </c>
      <c r="O64" t="s">
        <v>128</v>
      </c>
      <c r="P64">
        <v>2024</v>
      </c>
    </row>
    <row r="65" spans="1:16" x14ac:dyDescent="0.25">
      <c r="A65" t="s">
        <v>16</v>
      </c>
      <c r="C65" t="s">
        <v>167</v>
      </c>
      <c r="D65" t="s">
        <v>168</v>
      </c>
      <c r="E65" s="1">
        <v>45314</v>
      </c>
      <c r="F65" s="1"/>
      <c r="G65" t="s">
        <v>44</v>
      </c>
      <c r="H65" t="s">
        <v>20</v>
      </c>
      <c r="I65" t="s">
        <v>21</v>
      </c>
      <c r="J65" s="1">
        <v>46117</v>
      </c>
      <c r="K65" t="s">
        <v>22</v>
      </c>
      <c r="L65" t="s">
        <v>58</v>
      </c>
      <c r="M65" t="s">
        <v>153</v>
      </c>
      <c r="N65">
        <v>0.6</v>
      </c>
      <c r="O65" t="s">
        <v>169</v>
      </c>
      <c r="P65">
        <v>2024</v>
      </c>
    </row>
    <row r="66" spans="1:16" x14ac:dyDescent="0.25">
      <c r="A66" t="s">
        <v>16</v>
      </c>
      <c r="C66" t="s">
        <v>170</v>
      </c>
      <c r="D66" t="s">
        <v>171</v>
      </c>
      <c r="E66" s="1">
        <v>45314</v>
      </c>
      <c r="F66" s="1"/>
      <c r="G66" t="s">
        <v>40</v>
      </c>
      <c r="H66" t="s">
        <v>20</v>
      </c>
      <c r="I66" t="s">
        <v>21</v>
      </c>
      <c r="J66" s="1">
        <v>46350</v>
      </c>
      <c r="K66" t="s">
        <v>22</v>
      </c>
      <c r="L66" t="s">
        <v>23</v>
      </c>
      <c r="M66" t="s">
        <v>64</v>
      </c>
      <c r="N66">
        <v>14</v>
      </c>
      <c r="O66" t="s">
        <v>169</v>
      </c>
      <c r="P66">
        <v>2024</v>
      </c>
    </row>
    <row r="67" spans="1:16" x14ac:dyDescent="0.25">
      <c r="A67" t="s">
        <v>16</v>
      </c>
      <c r="C67" t="s">
        <v>172</v>
      </c>
      <c r="D67" t="s">
        <v>173</v>
      </c>
      <c r="E67" s="1">
        <v>45323</v>
      </c>
      <c r="F67" s="1"/>
      <c r="G67" t="s">
        <v>37</v>
      </c>
      <c r="H67" t="s">
        <v>20</v>
      </c>
      <c r="I67" t="s">
        <v>41</v>
      </c>
      <c r="J67" s="1">
        <v>46330</v>
      </c>
      <c r="K67" t="s">
        <v>22</v>
      </c>
      <c r="L67" t="s">
        <v>58</v>
      </c>
      <c r="M67" t="s">
        <v>64</v>
      </c>
      <c r="N67">
        <v>13</v>
      </c>
      <c r="O67" t="s">
        <v>169</v>
      </c>
      <c r="P67">
        <v>2024</v>
      </c>
    </row>
    <row r="68" spans="1:16" x14ac:dyDescent="0.25">
      <c r="A68" t="s">
        <v>16</v>
      </c>
      <c r="C68" t="s">
        <v>174</v>
      </c>
      <c r="D68" t="s">
        <v>175</v>
      </c>
      <c r="E68" s="1">
        <v>45328</v>
      </c>
      <c r="F68" s="1"/>
      <c r="G68" t="s">
        <v>51</v>
      </c>
      <c r="H68" t="s">
        <v>20</v>
      </c>
      <c r="I68" t="s">
        <v>41</v>
      </c>
      <c r="J68" s="1">
        <v>46367</v>
      </c>
      <c r="K68" t="s">
        <v>22</v>
      </c>
      <c r="L68" t="s">
        <v>58</v>
      </c>
      <c r="M68" t="s">
        <v>61</v>
      </c>
      <c r="N68">
        <v>1.5</v>
      </c>
      <c r="O68" t="s">
        <v>169</v>
      </c>
      <c r="P68">
        <v>2024</v>
      </c>
    </row>
    <row r="69" spans="1:16" x14ac:dyDescent="0.25">
      <c r="A69" t="s">
        <v>16</v>
      </c>
      <c r="C69" t="s">
        <v>176</v>
      </c>
      <c r="D69" t="s">
        <v>177</v>
      </c>
      <c r="E69" s="1">
        <v>45366</v>
      </c>
      <c r="F69" s="1"/>
      <c r="G69" t="s">
        <v>40</v>
      </c>
      <c r="H69" t="s">
        <v>20</v>
      </c>
      <c r="I69" t="s">
        <v>41</v>
      </c>
      <c r="J69" s="1">
        <v>46140</v>
      </c>
      <c r="K69" t="s">
        <v>22</v>
      </c>
      <c r="L69" t="s">
        <v>33</v>
      </c>
      <c r="M69" t="s">
        <v>64</v>
      </c>
      <c r="N69">
        <v>13</v>
      </c>
      <c r="O69" t="s">
        <v>169</v>
      </c>
      <c r="P69">
        <v>2024</v>
      </c>
    </row>
    <row r="70" spans="1:16" x14ac:dyDescent="0.25">
      <c r="A70" t="s">
        <v>16</v>
      </c>
      <c r="C70" t="s">
        <v>178</v>
      </c>
      <c r="D70" t="s">
        <v>179</v>
      </c>
      <c r="E70" s="1">
        <v>45374</v>
      </c>
      <c r="F70" s="1"/>
      <c r="G70" t="s">
        <v>53</v>
      </c>
      <c r="H70" t="s">
        <v>20</v>
      </c>
      <c r="I70" t="s">
        <v>21</v>
      </c>
      <c r="J70" s="1">
        <v>46177</v>
      </c>
      <c r="K70" t="s">
        <v>22</v>
      </c>
      <c r="L70" t="s">
        <v>33</v>
      </c>
      <c r="M70" t="s">
        <v>64</v>
      </c>
      <c r="N70">
        <v>10</v>
      </c>
      <c r="O70" t="s">
        <v>169</v>
      </c>
      <c r="P70">
        <v>2024</v>
      </c>
    </row>
    <row r="71" spans="1:16" x14ac:dyDescent="0.25">
      <c r="A71" t="s">
        <v>16</v>
      </c>
      <c r="C71" t="s">
        <v>180</v>
      </c>
      <c r="D71" t="s">
        <v>181</v>
      </c>
      <c r="E71" s="1">
        <v>45374</v>
      </c>
      <c r="F71" s="1"/>
      <c r="G71" t="s">
        <v>44</v>
      </c>
      <c r="H71" t="s">
        <v>20</v>
      </c>
      <c r="I71" t="s">
        <v>21</v>
      </c>
      <c r="J71" s="1">
        <v>46372</v>
      </c>
      <c r="K71" t="s">
        <v>22</v>
      </c>
      <c r="L71" t="s">
        <v>58</v>
      </c>
      <c r="M71" t="s">
        <v>64</v>
      </c>
      <c r="N71">
        <v>6.8</v>
      </c>
      <c r="O71" t="s">
        <v>169</v>
      </c>
      <c r="P71">
        <v>2024</v>
      </c>
    </row>
    <row r="72" spans="1:16" x14ac:dyDescent="0.25">
      <c r="A72" t="s">
        <v>16</v>
      </c>
      <c r="C72" t="s">
        <v>182</v>
      </c>
      <c r="D72" t="s">
        <v>183</v>
      </c>
      <c r="E72" s="1">
        <v>45374</v>
      </c>
      <c r="F72" s="1"/>
      <c r="G72" t="s">
        <v>37</v>
      </c>
      <c r="H72" t="s">
        <v>20</v>
      </c>
      <c r="I72" t="s">
        <v>21</v>
      </c>
      <c r="J72" s="1">
        <v>46067</v>
      </c>
      <c r="K72" t="s">
        <v>45</v>
      </c>
      <c r="L72" t="s">
        <v>23</v>
      </c>
      <c r="M72" t="s">
        <v>153</v>
      </c>
      <c r="N72">
        <v>7</v>
      </c>
      <c r="O72" t="s">
        <v>169</v>
      </c>
      <c r="P72">
        <v>2024</v>
      </c>
    </row>
    <row r="73" spans="1:16" x14ac:dyDescent="0.25">
      <c r="A73" t="s">
        <v>16</v>
      </c>
      <c r="C73" t="s">
        <v>184</v>
      </c>
      <c r="D73" t="s">
        <v>185</v>
      </c>
      <c r="E73" s="1">
        <v>45374</v>
      </c>
      <c r="F73" s="1"/>
      <c r="G73" t="s">
        <v>37</v>
      </c>
      <c r="H73" t="s">
        <v>20</v>
      </c>
      <c r="I73" t="s">
        <v>21</v>
      </c>
      <c r="J73" s="1">
        <v>46092</v>
      </c>
      <c r="K73" t="s">
        <v>22</v>
      </c>
      <c r="L73" t="s">
        <v>23</v>
      </c>
      <c r="M73" t="s">
        <v>153</v>
      </c>
      <c r="N73">
        <v>13</v>
      </c>
      <c r="O73" t="s">
        <v>169</v>
      </c>
      <c r="P73">
        <v>2024</v>
      </c>
    </row>
    <row r="74" spans="1:16" x14ac:dyDescent="0.25">
      <c r="A74" t="s">
        <v>16</v>
      </c>
      <c r="C74" t="s">
        <v>186</v>
      </c>
      <c r="D74" t="s">
        <v>187</v>
      </c>
      <c r="E74" s="1">
        <v>45385</v>
      </c>
      <c r="F74" s="1"/>
      <c r="G74" t="s">
        <v>40</v>
      </c>
      <c r="H74" t="s">
        <v>20</v>
      </c>
      <c r="I74" t="s">
        <v>21</v>
      </c>
      <c r="J74" s="1">
        <v>46036</v>
      </c>
      <c r="K74" t="s">
        <v>22</v>
      </c>
      <c r="L74" t="s">
        <v>58</v>
      </c>
      <c r="M74" t="s">
        <v>24</v>
      </c>
      <c r="N74">
        <v>8</v>
      </c>
      <c r="O74" t="s">
        <v>169</v>
      </c>
      <c r="P74">
        <v>2024</v>
      </c>
    </row>
    <row r="75" spans="1:16" x14ac:dyDescent="0.25">
      <c r="A75" t="s">
        <v>16</v>
      </c>
      <c r="C75" t="s">
        <v>188</v>
      </c>
      <c r="D75" t="s">
        <v>189</v>
      </c>
      <c r="E75" s="1">
        <v>45401</v>
      </c>
      <c r="F75" s="1"/>
      <c r="G75" t="s">
        <v>40</v>
      </c>
      <c r="H75" t="s">
        <v>20</v>
      </c>
      <c r="I75" t="s">
        <v>41</v>
      </c>
      <c r="J75" s="1">
        <v>46162</v>
      </c>
      <c r="K75" t="s">
        <v>22</v>
      </c>
      <c r="L75" t="s">
        <v>58</v>
      </c>
      <c r="M75" t="s">
        <v>90</v>
      </c>
      <c r="N75">
        <v>0</v>
      </c>
      <c r="O75" t="s">
        <v>169</v>
      </c>
      <c r="P75">
        <v>2024</v>
      </c>
    </row>
    <row r="76" spans="1:16" x14ac:dyDescent="0.25">
      <c r="A76" t="s">
        <v>16</v>
      </c>
      <c r="C76" t="s">
        <v>190</v>
      </c>
      <c r="D76" t="s">
        <v>191</v>
      </c>
      <c r="E76" s="1">
        <v>45427</v>
      </c>
      <c r="F76" s="1"/>
      <c r="G76" t="s">
        <v>53</v>
      </c>
      <c r="H76" t="s">
        <v>20</v>
      </c>
      <c r="I76" t="s">
        <v>21</v>
      </c>
      <c r="J76" s="1">
        <v>46169</v>
      </c>
      <c r="K76" t="s">
        <v>22</v>
      </c>
      <c r="L76" t="s">
        <v>58</v>
      </c>
      <c r="M76" t="s">
        <v>153</v>
      </c>
      <c r="N76">
        <v>3</v>
      </c>
      <c r="O76" t="s">
        <v>169</v>
      </c>
      <c r="P76">
        <v>2024</v>
      </c>
    </row>
    <row r="77" spans="1:16" x14ac:dyDescent="0.25">
      <c r="A77" t="s">
        <v>16</v>
      </c>
      <c r="C77" t="s">
        <v>192</v>
      </c>
      <c r="D77" t="s">
        <v>193</v>
      </c>
      <c r="E77" s="1">
        <v>45434</v>
      </c>
      <c r="F77" s="1"/>
      <c r="G77" t="s">
        <v>51</v>
      </c>
      <c r="H77" t="s">
        <v>20</v>
      </c>
      <c r="I77" t="s">
        <v>21</v>
      </c>
      <c r="J77" s="1">
        <v>46238</v>
      </c>
      <c r="K77" t="s">
        <v>45</v>
      </c>
      <c r="L77" t="s">
        <v>33</v>
      </c>
      <c r="M77" t="s">
        <v>61</v>
      </c>
      <c r="N77">
        <v>10</v>
      </c>
      <c r="O77" t="s">
        <v>169</v>
      </c>
      <c r="P77">
        <v>2024</v>
      </c>
    </row>
    <row r="78" spans="1:16" x14ac:dyDescent="0.25">
      <c r="A78" t="s">
        <v>16</v>
      </c>
      <c r="C78" t="s">
        <v>194</v>
      </c>
      <c r="D78" t="s">
        <v>195</v>
      </c>
      <c r="E78" s="1">
        <v>45455</v>
      </c>
      <c r="F78" s="1"/>
      <c r="G78" t="s">
        <v>51</v>
      </c>
      <c r="H78" t="s">
        <v>20</v>
      </c>
      <c r="I78" t="s">
        <v>21</v>
      </c>
      <c r="J78" s="1">
        <v>46118</v>
      </c>
      <c r="K78" t="s">
        <v>22</v>
      </c>
      <c r="L78" t="s">
        <v>58</v>
      </c>
      <c r="M78" t="s">
        <v>153</v>
      </c>
      <c r="N78">
        <v>1.2</v>
      </c>
      <c r="O78" t="s">
        <v>169</v>
      </c>
      <c r="P78">
        <v>2024</v>
      </c>
    </row>
    <row r="79" spans="1:16" x14ac:dyDescent="0.25">
      <c r="A79" t="s">
        <v>16</v>
      </c>
      <c r="C79" t="s">
        <v>196</v>
      </c>
      <c r="D79" t="s">
        <v>48</v>
      </c>
      <c r="E79" s="1">
        <v>45569</v>
      </c>
      <c r="F79" s="1"/>
      <c r="G79" t="s">
        <v>51</v>
      </c>
      <c r="H79" t="s">
        <v>20</v>
      </c>
      <c r="I79" t="s">
        <v>21</v>
      </c>
      <c r="J79" s="1">
        <v>46025</v>
      </c>
      <c r="K79" t="s">
        <v>45</v>
      </c>
      <c r="L79" t="s">
        <v>23</v>
      </c>
      <c r="M79" t="s">
        <v>90</v>
      </c>
      <c r="N79">
        <v>19</v>
      </c>
      <c r="O79" t="s">
        <v>169</v>
      </c>
      <c r="P79">
        <v>2024</v>
      </c>
    </row>
    <row r="80" spans="1:16" x14ac:dyDescent="0.25">
      <c r="A80" t="s">
        <v>16</v>
      </c>
      <c r="C80" t="s">
        <v>197</v>
      </c>
      <c r="D80" t="s">
        <v>198</v>
      </c>
      <c r="E80" s="1">
        <v>45662</v>
      </c>
      <c r="F80" s="1"/>
      <c r="G80" t="s">
        <v>48</v>
      </c>
      <c r="H80" t="s">
        <v>20</v>
      </c>
      <c r="I80" t="s">
        <v>21</v>
      </c>
      <c r="J80" s="1">
        <v>46298</v>
      </c>
      <c r="K80" t="s">
        <v>45</v>
      </c>
      <c r="L80" t="s">
        <v>23</v>
      </c>
      <c r="M80" t="s">
        <v>34</v>
      </c>
      <c r="N80">
        <v>5</v>
      </c>
      <c r="O80" t="s">
        <v>169</v>
      </c>
      <c r="P80">
        <v>2025</v>
      </c>
    </row>
    <row r="81" spans="1:16" x14ac:dyDescent="0.25">
      <c r="A81" t="s">
        <v>16</v>
      </c>
      <c r="C81" t="s">
        <v>199</v>
      </c>
      <c r="D81" t="s">
        <v>200</v>
      </c>
      <c r="E81" s="1">
        <v>45664</v>
      </c>
      <c r="F81" s="1"/>
      <c r="G81" t="s">
        <v>48</v>
      </c>
      <c r="H81" t="s">
        <v>20</v>
      </c>
      <c r="I81" t="s">
        <v>41</v>
      </c>
      <c r="J81" s="1">
        <v>46366</v>
      </c>
      <c r="K81" t="s">
        <v>45</v>
      </c>
      <c r="L81" t="s">
        <v>23</v>
      </c>
      <c r="M81" t="s">
        <v>24</v>
      </c>
      <c r="N81">
        <v>14</v>
      </c>
      <c r="O81" t="s">
        <v>169</v>
      </c>
      <c r="P81">
        <v>2025</v>
      </c>
    </row>
    <row r="82" spans="1:16" x14ac:dyDescent="0.25">
      <c r="A82" t="s">
        <v>16</v>
      </c>
      <c r="C82" t="s">
        <v>201</v>
      </c>
      <c r="D82" t="s">
        <v>202</v>
      </c>
      <c r="E82" s="1">
        <v>45671</v>
      </c>
      <c r="F82" s="1"/>
      <c r="G82" t="s">
        <v>53</v>
      </c>
      <c r="H82" t="s">
        <v>20</v>
      </c>
      <c r="I82" t="s">
        <v>21</v>
      </c>
      <c r="J82" s="1">
        <v>46095</v>
      </c>
      <c r="K82" t="s">
        <v>22</v>
      </c>
      <c r="L82" t="s">
        <v>33</v>
      </c>
      <c r="M82" t="s">
        <v>24</v>
      </c>
      <c r="N82">
        <v>0</v>
      </c>
      <c r="O82" t="s">
        <v>169</v>
      </c>
      <c r="P82">
        <v>2025</v>
      </c>
    </row>
    <row r="83" spans="1:16" x14ac:dyDescent="0.25">
      <c r="A83" t="s">
        <v>16</v>
      </c>
      <c r="C83" t="s">
        <v>203</v>
      </c>
      <c r="D83" t="s">
        <v>204</v>
      </c>
      <c r="E83" s="1">
        <v>45720</v>
      </c>
      <c r="F83" s="1"/>
      <c r="G83" t="s">
        <v>51</v>
      </c>
      <c r="H83" t="s">
        <v>20</v>
      </c>
      <c r="I83" t="s">
        <v>41</v>
      </c>
      <c r="J83" s="1">
        <v>46042</v>
      </c>
      <c r="K83" t="s">
        <v>22</v>
      </c>
      <c r="L83" t="s">
        <v>23</v>
      </c>
      <c r="M83" t="s">
        <v>34</v>
      </c>
      <c r="N83">
        <v>17</v>
      </c>
      <c r="O83" t="s">
        <v>205</v>
      </c>
      <c r="P83">
        <v>2025</v>
      </c>
    </row>
    <row r="84" spans="1:16" x14ac:dyDescent="0.25">
      <c r="A84" t="s">
        <v>16</v>
      </c>
      <c r="C84" t="s">
        <v>206</v>
      </c>
      <c r="D84" t="s">
        <v>207</v>
      </c>
      <c r="E84" s="1">
        <v>45852</v>
      </c>
      <c r="F84" s="1"/>
      <c r="G84" t="s">
        <v>51</v>
      </c>
      <c r="H84" t="s">
        <v>20</v>
      </c>
      <c r="I84" t="s">
        <v>21</v>
      </c>
      <c r="J84" s="1">
        <v>46333</v>
      </c>
      <c r="K84" t="s">
        <v>45</v>
      </c>
      <c r="L84" t="s">
        <v>33</v>
      </c>
      <c r="M84" t="s">
        <v>24</v>
      </c>
      <c r="N84">
        <v>9</v>
      </c>
      <c r="O84" t="s">
        <v>205</v>
      </c>
      <c r="P84">
        <v>2025</v>
      </c>
    </row>
    <row r="85" spans="1:16" x14ac:dyDescent="0.25">
      <c r="A85" t="s">
        <v>16</v>
      </c>
      <c r="C85" t="s">
        <v>208</v>
      </c>
      <c r="D85" t="s">
        <v>209</v>
      </c>
      <c r="E85" s="1">
        <v>45857</v>
      </c>
      <c r="F85" s="1"/>
      <c r="G85" t="s">
        <v>51</v>
      </c>
      <c r="H85" t="s">
        <v>20</v>
      </c>
      <c r="I85" t="s">
        <v>41</v>
      </c>
      <c r="J85" s="1">
        <v>46046</v>
      </c>
      <c r="K85" t="s">
        <v>45</v>
      </c>
      <c r="L85" t="s">
        <v>33</v>
      </c>
      <c r="M85" t="s">
        <v>24</v>
      </c>
      <c r="N85">
        <v>13</v>
      </c>
      <c r="O85" t="s">
        <v>205</v>
      </c>
      <c r="P85">
        <v>2025</v>
      </c>
    </row>
    <row r="86" spans="1:16" x14ac:dyDescent="0.25">
      <c r="A86" t="s">
        <v>16</v>
      </c>
      <c r="C86" t="s">
        <v>210</v>
      </c>
      <c r="D86" t="s">
        <v>211</v>
      </c>
      <c r="E86" s="1">
        <v>44197</v>
      </c>
      <c r="F86" s="1"/>
      <c r="G86" t="s">
        <v>37</v>
      </c>
      <c r="H86" t="s">
        <v>212</v>
      </c>
      <c r="I86" t="s">
        <v>21</v>
      </c>
      <c r="J86" s="1">
        <v>46062</v>
      </c>
      <c r="K86" t="s">
        <v>22</v>
      </c>
      <c r="L86" t="s">
        <v>212</v>
      </c>
      <c r="M86" t="s">
        <v>24</v>
      </c>
      <c r="N86">
        <v>4.8</v>
      </c>
      <c r="O86" t="s">
        <v>25</v>
      </c>
      <c r="P86">
        <v>2021</v>
      </c>
    </row>
    <row r="87" spans="1:16" x14ac:dyDescent="0.25">
      <c r="A87" t="s">
        <v>16</v>
      </c>
      <c r="C87" t="s">
        <v>213</v>
      </c>
      <c r="D87" t="s">
        <v>214</v>
      </c>
      <c r="E87" s="1">
        <v>44236</v>
      </c>
      <c r="F87" s="1"/>
      <c r="G87" t="s">
        <v>37</v>
      </c>
      <c r="H87" t="s">
        <v>212</v>
      </c>
      <c r="I87" t="s">
        <v>21</v>
      </c>
      <c r="J87" s="1">
        <v>46095</v>
      </c>
      <c r="K87" t="s">
        <v>22</v>
      </c>
      <c r="L87" t="s">
        <v>212</v>
      </c>
      <c r="M87" t="s">
        <v>61</v>
      </c>
      <c r="N87">
        <v>14</v>
      </c>
      <c r="O87" t="s">
        <v>73</v>
      </c>
      <c r="P87">
        <v>2021</v>
      </c>
    </row>
    <row r="88" spans="1:16" x14ac:dyDescent="0.25">
      <c r="A88" t="s">
        <v>16</v>
      </c>
      <c r="C88" t="s">
        <v>215</v>
      </c>
      <c r="D88" t="s">
        <v>216</v>
      </c>
      <c r="E88" s="1">
        <v>44805</v>
      </c>
      <c r="F88" s="1"/>
      <c r="G88" t="s">
        <v>40</v>
      </c>
      <c r="H88" t="s">
        <v>212</v>
      </c>
      <c r="I88" t="s">
        <v>21</v>
      </c>
      <c r="J88" s="1">
        <v>46313</v>
      </c>
      <c r="K88" t="s">
        <v>45</v>
      </c>
      <c r="L88" t="s">
        <v>212</v>
      </c>
      <c r="M88" t="s">
        <v>28</v>
      </c>
      <c r="N88">
        <v>10</v>
      </c>
      <c r="O88" t="s">
        <v>93</v>
      </c>
      <c r="P88">
        <v>2022</v>
      </c>
    </row>
    <row r="89" spans="1:16" x14ac:dyDescent="0.25">
      <c r="A89" t="s">
        <v>16</v>
      </c>
      <c r="C89" t="s">
        <v>217</v>
      </c>
      <c r="D89" t="s">
        <v>218</v>
      </c>
      <c r="E89" s="1">
        <v>44873</v>
      </c>
      <c r="F89" s="1"/>
      <c r="G89" t="s">
        <v>40</v>
      </c>
      <c r="H89" t="s">
        <v>212</v>
      </c>
      <c r="I89" t="s">
        <v>21</v>
      </c>
      <c r="J89" s="1">
        <v>46322</v>
      </c>
      <c r="K89" t="s">
        <v>45</v>
      </c>
      <c r="L89" t="s">
        <v>212</v>
      </c>
      <c r="M89" t="s">
        <v>90</v>
      </c>
      <c r="N89">
        <v>10</v>
      </c>
      <c r="O89" t="s">
        <v>93</v>
      </c>
      <c r="P89">
        <v>2022</v>
      </c>
    </row>
    <row r="90" spans="1:16" x14ac:dyDescent="0.25">
      <c r="A90" t="s">
        <v>16</v>
      </c>
      <c r="C90" t="s">
        <v>219</v>
      </c>
      <c r="D90" t="s">
        <v>220</v>
      </c>
      <c r="E90" s="1">
        <v>45218</v>
      </c>
      <c r="F90" s="1"/>
      <c r="G90" t="s">
        <v>19</v>
      </c>
      <c r="H90" t="s">
        <v>212</v>
      </c>
      <c r="I90" t="s">
        <v>41</v>
      </c>
      <c r="J90" s="1">
        <v>46291</v>
      </c>
      <c r="K90" t="s">
        <v>22</v>
      </c>
      <c r="L90" t="s">
        <v>212</v>
      </c>
      <c r="M90" t="s">
        <v>64</v>
      </c>
      <c r="N90">
        <v>0</v>
      </c>
      <c r="O90" t="s">
        <v>128</v>
      </c>
      <c r="P90">
        <v>2023</v>
      </c>
    </row>
    <row r="91" spans="1:16" x14ac:dyDescent="0.25">
      <c r="A91" t="s">
        <v>16</v>
      </c>
      <c r="C91" t="s">
        <v>221</v>
      </c>
      <c r="D91" t="s">
        <v>222</v>
      </c>
      <c r="E91" s="1">
        <v>45274</v>
      </c>
      <c r="F91" s="1"/>
      <c r="G91" t="s">
        <v>19</v>
      </c>
      <c r="H91" t="s">
        <v>212</v>
      </c>
      <c r="I91" t="s">
        <v>41</v>
      </c>
      <c r="J91" s="1">
        <v>46338</v>
      </c>
      <c r="K91" t="s">
        <v>22</v>
      </c>
      <c r="L91" t="s">
        <v>212</v>
      </c>
      <c r="M91" t="s">
        <v>61</v>
      </c>
      <c r="N91">
        <v>4</v>
      </c>
      <c r="O91" t="s">
        <v>128</v>
      </c>
      <c r="P91">
        <v>2023</v>
      </c>
    </row>
    <row r="92" spans="1:16" x14ac:dyDescent="0.25">
      <c r="A92" t="s">
        <v>16</v>
      </c>
      <c r="C92" t="s">
        <v>223</v>
      </c>
      <c r="D92" t="s">
        <v>224</v>
      </c>
      <c r="E92" s="1">
        <v>45328</v>
      </c>
      <c r="F92" s="1"/>
      <c r="G92" t="s">
        <v>37</v>
      </c>
      <c r="H92" t="s">
        <v>212</v>
      </c>
      <c r="I92" t="s">
        <v>21</v>
      </c>
      <c r="J92" s="1">
        <v>46384</v>
      </c>
      <c r="K92" t="s">
        <v>22</v>
      </c>
      <c r="L92" t="s">
        <v>212</v>
      </c>
      <c r="M92" t="s">
        <v>64</v>
      </c>
      <c r="N92">
        <v>0</v>
      </c>
      <c r="O92" t="s">
        <v>169</v>
      </c>
      <c r="P92">
        <v>2024</v>
      </c>
    </row>
    <row r="93" spans="1:16" x14ac:dyDescent="0.25">
      <c r="A93" t="s">
        <v>16</v>
      </c>
      <c r="C93" t="s">
        <v>225</v>
      </c>
      <c r="D93" t="s">
        <v>226</v>
      </c>
      <c r="E93" s="1">
        <v>45378</v>
      </c>
      <c r="F93" s="1"/>
      <c r="G93" t="s">
        <v>19</v>
      </c>
      <c r="H93" t="s">
        <v>212</v>
      </c>
      <c r="I93" t="s">
        <v>21</v>
      </c>
      <c r="J93" s="1">
        <v>46087</v>
      </c>
      <c r="K93" t="s">
        <v>45</v>
      </c>
      <c r="L93" t="s">
        <v>212</v>
      </c>
      <c r="M93" t="s">
        <v>153</v>
      </c>
      <c r="N93">
        <v>10</v>
      </c>
      <c r="O93" t="s">
        <v>169</v>
      </c>
      <c r="P93">
        <v>2024</v>
      </c>
    </row>
    <row r="94" spans="1:16" x14ac:dyDescent="0.25">
      <c r="A94" t="s">
        <v>16</v>
      </c>
      <c r="C94" t="s">
        <v>227</v>
      </c>
      <c r="D94" t="s">
        <v>228</v>
      </c>
      <c r="E94" s="1">
        <v>45444</v>
      </c>
      <c r="F94" s="1"/>
      <c r="G94" t="s">
        <v>19</v>
      </c>
      <c r="H94" t="s">
        <v>212</v>
      </c>
      <c r="I94" t="s">
        <v>41</v>
      </c>
      <c r="J94" s="1">
        <v>46359</v>
      </c>
      <c r="K94" t="s">
        <v>45</v>
      </c>
      <c r="L94" t="s">
        <v>212</v>
      </c>
      <c r="M94" t="s">
        <v>61</v>
      </c>
      <c r="N94">
        <v>4</v>
      </c>
      <c r="O94" t="s">
        <v>169</v>
      </c>
      <c r="P94">
        <v>2024</v>
      </c>
    </row>
    <row r="95" spans="1:16" x14ac:dyDescent="0.25">
      <c r="A95" t="s">
        <v>16</v>
      </c>
      <c r="C95" t="s">
        <v>229</v>
      </c>
      <c r="D95" t="s">
        <v>230</v>
      </c>
      <c r="E95" s="1">
        <v>45662</v>
      </c>
      <c r="F95" s="1"/>
      <c r="G95" t="s">
        <v>48</v>
      </c>
      <c r="H95" t="s">
        <v>212</v>
      </c>
      <c r="I95" t="s">
        <v>41</v>
      </c>
      <c r="J95" s="1">
        <v>46164</v>
      </c>
      <c r="K95" t="s">
        <v>45</v>
      </c>
      <c r="L95" t="s">
        <v>212</v>
      </c>
      <c r="M95" t="s">
        <v>28</v>
      </c>
      <c r="N95">
        <v>4.8</v>
      </c>
      <c r="O95" t="s">
        <v>169</v>
      </c>
      <c r="P95">
        <v>2025</v>
      </c>
    </row>
    <row r="96" spans="1:16" x14ac:dyDescent="0.25">
      <c r="A96" t="s">
        <v>16</v>
      </c>
      <c r="C96" t="s">
        <v>231</v>
      </c>
      <c r="D96" t="s">
        <v>232</v>
      </c>
      <c r="E96" s="1">
        <v>45671</v>
      </c>
      <c r="F96" s="1"/>
      <c r="G96" t="s">
        <v>48</v>
      </c>
      <c r="H96" t="s">
        <v>212</v>
      </c>
      <c r="I96" t="s">
        <v>21</v>
      </c>
      <c r="J96" s="1">
        <v>46062</v>
      </c>
      <c r="K96" t="s">
        <v>22</v>
      </c>
      <c r="L96" t="s">
        <v>212</v>
      </c>
      <c r="M96" t="s">
        <v>24</v>
      </c>
      <c r="N96">
        <v>9</v>
      </c>
      <c r="O96" t="s">
        <v>169</v>
      </c>
      <c r="P96">
        <v>2025</v>
      </c>
    </row>
    <row r="97" spans="1:16" x14ac:dyDescent="0.25">
      <c r="A97" t="s">
        <v>16</v>
      </c>
      <c r="C97" t="s">
        <v>233</v>
      </c>
      <c r="D97" t="s">
        <v>234</v>
      </c>
      <c r="E97" s="1">
        <v>45775</v>
      </c>
      <c r="F97" s="1"/>
      <c r="G97" t="s">
        <v>51</v>
      </c>
      <c r="H97" t="s">
        <v>212</v>
      </c>
      <c r="I97" t="s">
        <v>21</v>
      </c>
      <c r="J97" s="1">
        <v>46362</v>
      </c>
      <c r="K97" t="s">
        <v>45</v>
      </c>
      <c r="L97" t="s">
        <v>212</v>
      </c>
      <c r="M97" t="s">
        <v>153</v>
      </c>
      <c r="N97">
        <v>8</v>
      </c>
      <c r="O97" t="s">
        <v>205</v>
      </c>
      <c r="P97">
        <v>2025</v>
      </c>
    </row>
    <row r="98" spans="1:16" x14ac:dyDescent="0.25">
      <c r="A98" t="s">
        <v>16</v>
      </c>
      <c r="B98" t="s">
        <v>235</v>
      </c>
      <c r="C98" t="s">
        <v>236</v>
      </c>
      <c r="D98" t="s">
        <v>237</v>
      </c>
      <c r="E98" s="1">
        <v>43950</v>
      </c>
      <c r="F98" s="1"/>
      <c r="G98" t="s">
        <v>37</v>
      </c>
      <c r="H98" t="s">
        <v>212</v>
      </c>
      <c r="I98" t="s">
        <v>21</v>
      </c>
      <c r="J98" s="1">
        <v>46216</v>
      </c>
      <c r="K98" t="s">
        <v>22</v>
      </c>
      <c r="L98" t="s">
        <v>212</v>
      </c>
      <c r="M98" t="s">
        <v>24</v>
      </c>
      <c r="N98">
        <v>0</v>
      </c>
      <c r="O98" t="s">
        <v>25</v>
      </c>
      <c r="P98">
        <v>2020</v>
      </c>
    </row>
    <row r="99" spans="1:16" x14ac:dyDescent="0.25">
      <c r="A99" t="s">
        <v>16</v>
      </c>
      <c r="B99" t="s">
        <v>235</v>
      </c>
      <c r="C99" t="s">
        <v>238</v>
      </c>
      <c r="D99" t="s">
        <v>239</v>
      </c>
      <c r="E99" s="1">
        <v>43867</v>
      </c>
      <c r="F99" s="1"/>
      <c r="G99" t="s">
        <v>37</v>
      </c>
      <c r="H99" t="s">
        <v>20</v>
      </c>
      <c r="I99" t="s">
        <v>21</v>
      </c>
      <c r="J99" s="1">
        <v>46259</v>
      </c>
      <c r="K99" t="s">
        <v>22</v>
      </c>
      <c r="L99" t="s">
        <v>33</v>
      </c>
      <c r="M99" t="s">
        <v>24</v>
      </c>
      <c r="N99">
        <v>13</v>
      </c>
      <c r="O99" t="s">
        <v>25</v>
      </c>
      <c r="P99">
        <v>2020</v>
      </c>
    </row>
    <row r="100" spans="1:16" x14ac:dyDescent="0.25">
      <c r="A100" t="s">
        <v>16</v>
      </c>
      <c r="B100" t="s">
        <v>235</v>
      </c>
      <c r="C100" t="s">
        <v>240</v>
      </c>
      <c r="D100" t="s">
        <v>40</v>
      </c>
      <c r="E100" s="1">
        <v>43916</v>
      </c>
      <c r="F100" s="1"/>
      <c r="G100" t="s">
        <v>37</v>
      </c>
      <c r="H100" t="s">
        <v>20</v>
      </c>
      <c r="I100" t="s">
        <v>21</v>
      </c>
      <c r="J100" s="1">
        <v>46140</v>
      </c>
      <c r="K100" t="s">
        <v>22</v>
      </c>
      <c r="L100" t="s">
        <v>33</v>
      </c>
      <c r="M100" t="s">
        <v>28</v>
      </c>
      <c r="N100">
        <v>14</v>
      </c>
      <c r="O100" t="s">
        <v>25</v>
      </c>
      <c r="P100">
        <v>2020</v>
      </c>
    </row>
    <row r="101" spans="1:16" x14ac:dyDescent="0.25">
      <c r="A101" t="s">
        <v>16</v>
      </c>
      <c r="B101" t="s">
        <v>235</v>
      </c>
      <c r="C101" t="s">
        <v>241</v>
      </c>
      <c r="D101" t="s">
        <v>242</v>
      </c>
      <c r="E101" s="1">
        <v>43950</v>
      </c>
      <c r="F101" s="1"/>
      <c r="G101" t="s">
        <v>19</v>
      </c>
      <c r="H101" t="s">
        <v>20</v>
      </c>
      <c r="I101" t="s">
        <v>21</v>
      </c>
      <c r="J101" s="1">
        <v>46135</v>
      </c>
      <c r="K101" t="s">
        <v>22</v>
      </c>
      <c r="L101" t="s">
        <v>23</v>
      </c>
      <c r="M101" t="s">
        <v>34</v>
      </c>
      <c r="N101">
        <v>13</v>
      </c>
      <c r="O101" t="s">
        <v>25</v>
      </c>
      <c r="P101">
        <v>2020</v>
      </c>
    </row>
    <row r="102" spans="1:16" x14ac:dyDescent="0.25">
      <c r="A102" t="s">
        <v>16</v>
      </c>
      <c r="B102" t="s">
        <v>235</v>
      </c>
      <c r="C102" t="s">
        <v>243</v>
      </c>
      <c r="D102" t="s">
        <v>244</v>
      </c>
      <c r="E102" s="1">
        <v>43994</v>
      </c>
      <c r="F102" s="1"/>
      <c r="G102" t="s">
        <v>40</v>
      </c>
      <c r="H102" t="s">
        <v>20</v>
      </c>
      <c r="I102" t="s">
        <v>21</v>
      </c>
      <c r="J102" s="1">
        <v>46242</v>
      </c>
      <c r="K102" t="s">
        <v>22</v>
      </c>
      <c r="L102" t="s">
        <v>33</v>
      </c>
      <c r="M102" t="s">
        <v>24</v>
      </c>
      <c r="N102">
        <v>7</v>
      </c>
      <c r="O102" t="s">
        <v>25</v>
      </c>
      <c r="P102">
        <v>2020</v>
      </c>
    </row>
    <row r="103" spans="1:16" x14ac:dyDescent="0.25">
      <c r="A103" t="s">
        <v>16</v>
      </c>
      <c r="B103" t="s">
        <v>235</v>
      </c>
      <c r="C103" t="s">
        <v>245</v>
      </c>
      <c r="D103" t="s">
        <v>246</v>
      </c>
      <c r="E103" s="1">
        <v>44075</v>
      </c>
      <c r="F103" s="1"/>
      <c r="G103" t="s">
        <v>51</v>
      </c>
      <c r="H103" t="s">
        <v>20</v>
      </c>
      <c r="I103" t="s">
        <v>21</v>
      </c>
      <c r="J103" s="1">
        <v>46135</v>
      </c>
      <c r="K103" t="s">
        <v>45</v>
      </c>
      <c r="L103" t="s">
        <v>23</v>
      </c>
      <c r="M103" t="s">
        <v>34</v>
      </c>
      <c r="N103">
        <v>13</v>
      </c>
      <c r="O103" t="s">
        <v>25</v>
      </c>
      <c r="P103">
        <v>2020</v>
      </c>
    </row>
    <row r="104" spans="1:16" x14ac:dyDescent="0.25">
      <c r="A104" t="s">
        <v>16</v>
      </c>
      <c r="B104" t="s">
        <v>247</v>
      </c>
      <c r="C104" t="s">
        <v>248</v>
      </c>
      <c r="D104" t="s">
        <v>249</v>
      </c>
      <c r="E104" s="1">
        <v>44418</v>
      </c>
      <c r="F104" s="1"/>
      <c r="G104" t="s">
        <v>40</v>
      </c>
      <c r="H104" t="s">
        <v>20</v>
      </c>
      <c r="I104" t="s">
        <v>21</v>
      </c>
      <c r="J104" s="1">
        <v>46339</v>
      </c>
      <c r="K104" t="s">
        <v>22</v>
      </c>
      <c r="L104" t="s">
        <v>58</v>
      </c>
      <c r="M104" t="s">
        <v>24</v>
      </c>
      <c r="N104">
        <v>0</v>
      </c>
      <c r="O104" t="s">
        <v>73</v>
      </c>
      <c r="P104">
        <v>2021</v>
      </c>
    </row>
    <row r="105" spans="1:16" x14ac:dyDescent="0.25">
      <c r="A105" t="s">
        <v>16</v>
      </c>
      <c r="B105" t="s">
        <v>247</v>
      </c>
      <c r="C105" t="s">
        <v>250</v>
      </c>
      <c r="D105" t="s">
        <v>251</v>
      </c>
      <c r="E105" s="1">
        <v>44958</v>
      </c>
      <c r="F105" s="1"/>
      <c r="G105" t="s">
        <v>51</v>
      </c>
      <c r="H105" t="s">
        <v>20</v>
      </c>
      <c r="I105" t="s">
        <v>21</v>
      </c>
      <c r="J105" s="1">
        <v>46203</v>
      </c>
      <c r="K105" t="s">
        <v>22</v>
      </c>
      <c r="L105" t="s">
        <v>58</v>
      </c>
      <c r="M105" t="s">
        <v>28</v>
      </c>
      <c r="N105">
        <v>1.5</v>
      </c>
      <c r="O105" t="s">
        <v>128</v>
      </c>
      <c r="P105">
        <v>2023</v>
      </c>
    </row>
    <row r="106" spans="1:16" x14ac:dyDescent="0.25">
      <c r="A106" t="s">
        <v>16</v>
      </c>
      <c r="B106" t="s">
        <v>247</v>
      </c>
      <c r="C106" t="s">
        <v>252</v>
      </c>
      <c r="D106" t="s">
        <v>253</v>
      </c>
      <c r="E106" s="1">
        <v>45027</v>
      </c>
      <c r="F106" s="1"/>
      <c r="G106" t="s">
        <v>51</v>
      </c>
      <c r="H106" t="s">
        <v>20</v>
      </c>
      <c r="I106" t="s">
        <v>41</v>
      </c>
      <c r="J106" s="1">
        <v>46100</v>
      </c>
      <c r="K106" t="s">
        <v>45</v>
      </c>
      <c r="L106" t="s">
        <v>33</v>
      </c>
      <c r="M106" t="s">
        <v>61</v>
      </c>
      <c r="N106">
        <v>6</v>
      </c>
      <c r="O106" t="s">
        <v>128</v>
      </c>
      <c r="P106">
        <v>2023</v>
      </c>
    </row>
    <row r="107" spans="1:16" x14ac:dyDescent="0.25">
      <c r="A107" t="s">
        <v>16</v>
      </c>
      <c r="B107" t="s">
        <v>247</v>
      </c>
      <c r="C107" t="s">
        <v>254</v>
      </c>
      <c r="D107" t="s">
        <v>255</v>
      </c>
      <c r="E107" s="1">
        <v>45083</v>
      </c>
      <c r="F107" s="1"/>
      <c r="G107" t="s">
        <v>51</v>
      </c>
      <c r="H107" t="s">
        <v>20</v>
      </c>
      <c r="I107" t="s">
        <v>21</v>
      </c>
      <c r="J107" s="1">
        <v>46081</v>
      </c>
      <c r="K107" t="s">
        <v>22</v>
      </c>
      <c r="L107" t="s">
        <v>58</v>
      </c>
      <c r="M107" t="s">
        <v>64</v>
      </c>
      <c r="N107">
        <v>1.8</v>
      </c>
      <c r="O107" t="s">
        <v>128</v>
      </c>
      <c r="P107">
        <v>2023</v>
      </c>
    </row>
    <row r="108" spans="1:16" x14ac:dyDescent="0.25">
      <c r="A108" t="s">
        <v>16</v>
      </c>
      <c r="B108" t="s">
        <v>247</v>
      </c>
      <c r="C108" t="s">
        <v>256</v>
      </c>
      <c r="D108" t="s">
        <v>257</v>
      </c>
      <c r="E108" s="1">
        <v>45083</v>
      </c>
      <c r="F108" s="1"/>
      <c r="G108" t="s">
        <v>51</v>
      </c>
      <c r="H108" t="s">
        <v>20</v>
      </c>
      <c r="I108" t="s">
        <v>41</v>
      </c>
      <c r="J108" s="1">
        <v>46030</v>
      </c>
      <c r="K108" t="s">
        <v>22</v>
      </c>
      <c r="L108" t="s">
        <v>58</v>
      </c>
      <c r="M108" t="s">
        <v>64</v>
      </c>
      <c r="N108">
        <v>1.5</v>
      </c>
      <c r="O108" t="s">
        <v>128</v>
      </c>
      <c r="P108">
        <v>2023</v>
      </c>
    </row>
    <row r="109" spans="1:16" x14ac:dyDescent="0.25">
      <c r="A109" t="s">
        <v>16</v>
      </c>
      <c r="B109" t="s">
        <v>247</v>
      </c>
      <c r="C109" t="s">
        <v>258</v>
      </c>
      <c r="D109" t="s">
        <v>259</v>
      </c>
      <c r="E109" s="1">
        <v>45083</v>
      </c>
      <c r="F109" s="1"/>
      <c r="G109" t="s">
        <v>51</v>
      </c>
      <c r="H109" t="s">
        <v>20</v>
      </c>
      <c r="I109" t="s">
        <v>41</v>
      </c>
      <c r="J109" s="1">
        <v>46044</v>
      </c>
      <c r="K109" t="s">
        <v>22</v>
      </c>
      <c r="L109" t="s">
        <v>58</v>
      </c>
      <c r="M109" t="s">
        <v>64</v>
      </c>
      <c r="N109">
        <v>0.11</v>
      </c>
      <c r="O109" t="s">
        <v>128</v>
      </c>
      <c r="P109">
        <v>2023</v>
      </c>
    </row>
    <row r="110" spans="1:16" x14ac:dyDescent="0.25">
      <c r="A110" t="s">
        <v>16</v>
      </c>
      <c r="B110" t="s">
        <v>247</v>
      </c>
      <c r="C110" t="s">
        <v>260</v>
      </c>
      <c r="D110" t="s">
        <v>261</v>
      </c>
      <c r="E110" s="1">
        <v>45083</v>
      </c>
      <c r="F110" s="1"/>
      <c r="G110" t="s">
        <v>51</v>
      </c>
      <c r="H110" t="s">
        <v>20</v>
      </c>
      <c r="I110" t="s">
        <v>21</v>
      </c>
      <c r="J110" s="1">
        <v>46265</v>
      </c>
      <c r="K110" t="s">
        <v>22</v>
      </c>
      <c r="L110" t="s">
        <v>58</v>
      </c>
      <c r="M110" t="s">
        <v>64</v>
      </c>
      <c r="N110">
        <v>0</v>
      </c>
      <c r="O110" t="s">
        <v>128</v>
      </c>
      <c r="P110">
        <v>2023</v>
      </c>
    </row>
    <row r="111" spans="1:16" x14ac:dyDescent="0.25">
      <c r="A111" t="s">
        <v>16</v>
      </c>
      <c r="B111" t="s">
        <v>247</v>
      </c>
      <c r="C111" t="s">
        <v>262</v>
      </c>
      <c r="D111" t="s">
        <v>263</v>
      </c>
      <c r="E111" s="1">
        <v>45227</v>
      </c>
      <c r="F111" s="1"/>
      <c r="G111" t="s">
        <v>51</v>
      </c>
      <c r="H111" t="s">
        <v>20</v>
      </c>
      <c r="I111" t="s">
        <v>21</v>
      </c>
      <c r="J111" s="1">
        <v>46097</v>
      </c>
      <c r="K111" t="s">
        <v>22</v>
      </c>
      <c r="L111" t="s">
        <v>33</v>
      </c>
      <c r="M111" t="s">
        <v>34</v>
      </c>
      <c r="N111">
        <v>5.3</v>
      </c>
      <c r="O111" t="s">
        <v>128</v>
      </c>
      <c r="P111">
        <v>2023</v>
      </c>
    </row>
    <row r="112" spans="1:16" x14ac:dyDescent="0.25">
      <c r="A112" t="s">
        <v>16</v>
      </c>
      <c r="B112" t="s">
        <v>247</v>
      </c>
      <c r="C112" t="s">
        <v>264</v>
      </c>
      <c r="D112" t="s">
        <v>265</v>
      </c>
      <c r="E112" s="1">
        <v>45260</v>
      </c>
      <c r="F112" s="1"/>
      <c r="G112" t="s">
        <v>51</v>
      </c>
      <c r="H112" t="s">
        <v>20</v>
      </c>
      <c r="I112" t="s">
        <v>21</v>
      </c>
      <c r="J112" s="1">
        <v>46154</v>
      </c>
      <c r="K112" t="s">
        <v>45</v>
      </c>
      <c r="L112" t="s">
        <v>58</v>
      </c>
      <c r="M112" t="s">
        <v>153</v>
      </c>
      <c r="N112">
        <v>4.5</v>
      </c>
      <c r="O112" t="s">
        <v>128</v>
      </c>
      <c r="P112">
        <v>2023</v>
      </c>
    </row>
    <row r="113" spans="1:16" x14ac:dyDescent="0.25">
      <c r="A113" t="s">
        <v>16</v>
      </c>
      <c r="B113" t="s">
        <v>247</v>
      </c>
      <c r="C113" t="s">
        <v>266</v>
      </c>
      <c r="D113" t="s">
        <v>267</v>
      </c>
      <c r="E113" s="1">
        <v>45274</v>
      </c>
      <c r="F113" s="1"/>
      <c r="G113" t="s">
        <v>51</v>
      </c>
      <c r="H113" t="s">
        <v>20</v>
      </c>
      <c r="I113" t="s">
        <v>21</v>
      </c>
      <c r="J113" s="1">
        <v>46368</v>
      </c>
      <c r="K113" t="s">
        <v>45</v>
      </c>
      <c r="L113" t="s">
        <v>33</v>
      </c>
      <c r="M113" t="s">
        <v>61</v>
      </c>
      <c r="N113">
        <v>7.5</v>
      </c>
      <c r="O113" t="s">
        <v>128</v>
      </c>
      <c r="P113">
        <v>2023</v>
      </c>
    </row>
    <row r="114" spans="1:16" x14ac:dyDescent="0.25">
      <c r="A114" t="s">
        <v>16</v>
      </c>
      <c r="B114" t="s">
        <v>247</v>
      </c>
      <c r="C114" t="s">
        <v>268</v>
      </c>
      <c r="D114" t="s">
        <v>269</v>
      </c>
      <c r="E114" s="1">
        <v>45274</v>
      </c>
      <c r="F114" s="1"/>
      <c r="G114" t="s">
        <v>51</v>
      </c>
      <c r="H114" t="s">
        <v>20</v>
      </c>
      <c r="I114" t="s">
        <v>41</v>
      </c>
      <c r="J114" s="1">
        <v>46162</v>
      </c>
      <c r="K114" t="s">
        <v>22</v>
      </c>
      <c r="L114" t="s">
        <v>58</v>
      </c>
      <c r="M114" t="s">
        <v>153</v>
      </c>
      <c r="N114">
        <v>10</v>
      </c>
      <c r="O114" t="s">
        <v>128</v>
      </c>
      <c r="P114">
        <v>2023</v>
      </c>
    </row>
    <row r="115" spans="1:16" x14ac:dyDescent="0.25">
      <c r="A115" t="s">
        <v>16</v>
      </c>
      <c r="B115" t="s">
        <v>247</v>
      </c>
      <c r="C115" t="s">
        <v>270</v>
      </c>
      <c r="D115" t="s">
        <v>271</v>
      </c>
      <c r="E115" s="1">
        <v>45295</v>
      </c>
      <c r="F115" s="1"/>
      <c r="G115" t="s">
        <v>51</v>
      </c>
      <c r="H115" t="s">
        <v>20</v>
      </c>
      <c r="I115" t="s">
        <v>21</v>
      </c>
      <c r="J115" s="1">
        <v>46212</v>
      </c>
      <c r="K115" t="s">
        <v>22</v>
      </c>
      <c r="L115" t="s">
        <v>58</v>
      </c>
      <c r="M115" t="s">
        <v>153</v>
      </c>
      <c r="N115">
        <v>1.6</v>
      </c>
      <c r="O115" t="s">
        <v>128</v>
      </c>
      <c r="P115">
        <v>2024</v>
      </c>
    </row>
    <row r="116" spans="1:16" x14ac:dyDescent="0.25">
      <c r="A116" t="s">
        <v>16</v>
      </c>
      <c r="B116" t="s">
        <v>247</v>
      </c>
      <c r="C116" t="s">
        <v>272</v>
      </c>
      <c r="D116" t="s">
        <v>273</v>
      </c>
      <c r="E116" s="1">
        <v>45323</v>
      </c>
      <c r="F116" s="1"/>
      <c r="G116" t="s">
        <v>51</v>
      </c>
      <c r="H116" t="s">
        <v>20</v>
      </c>
      <c r="I116" t="s">
        <v>41</v>
      </c>
      <c r="J116" s="1">
        <v>46169</v>
      </c>
      <c r="K116" t="s">
        <v>22</v>
      </c>
      <c r="L116" t="s">
        <v>58</v>
      </c>
      <c r="M116" t="s">
        <v>64</v>
      </c>
      <c r="N116">
        <v>3.3</v>
      </c>
      <c r="O116" t="s">
        <v>169</v>
      </c>
      <c r="P116">
        <v>2024</v>
      </c>
    </row>
    <row r="117" spans="1:16" x14ac:dyDescent="0.25">
      <c r="A117" t="s">
        <v>16</v>
      </c>
      <c r="B117" t="s">
        <v>247</v>
      </c>
      <c r="C117" t="s">
        <v>274</v>
      </c>
      <c r="D117" t="s">
        <v>275</v>
      </c>
      <c r="E117" s="1">
        <v>45366</v>
      </c>
      <c r="F117" s="1"/>
      <c r="G117" t="s">
        <v>51</v>
      </c>
      <c r="H117" t="s">
        <v>20</v>
      </c>
      <c r="I117" t="s">
        <v>41</v>
      </c>
      <c r="J117" s="1">
        <v>46145</v>
      </c>
      <c r="K117" t="s">
        <v>45</v>
      </c>
      <c r="L117" t="s">
        <v>58</v>
      </c>
      <c r="M117" t="s">
        <v>64</v>
      </c>
      <c r="N117">
        <v>3</v>
      </c>
      <c r="O117" t="s">
        <v>169</v>
      </c>
      <c r="P117">
        <v>2024</v>
      </c>
    </row>
    <row r="118" spans="1:16" x14ac:dyDescent="0.25">
      <c r="A118" t="s">
        <v>16</v>
      </c>
      <c r="B118" t="s">
        <v>247</v>
      </c>
      <c r="C118" t="s">
        <v>276</v>
      </c>
      <c r="D118" t="s">
        <v>277</v>
      </c>
      <c r="E118" s="1">
        <v>45385</v>
      </c>
      <c r="F118" s="1"/>
      <c r="G118" t="s">
        <v>53</v>
      </c>
      <c r="H118" t="s">
        <v>20</v>
      </c>
      <c r="I118" t="s">
        <v>41</v>
      </c>
      <c r="J118" s="1">
        <v>46188</v>
      </c>
      <c r="K118" t="s">
        <v>45</v>
      </c>
      <c r="L118" t="s">
        <v>58</v>
      </c>
      <c r="M118" t="s">
        <v>153</v>
      </c>
      <c r="N118">
        <v>4</v>
      </c>
      <c r="O118" t="s">
        <v>169</v>
      </c>
      <c r="P118">
        <v>2024</v>
      </c>
    </row>
    <row r="119" spans="1:16" x14ac:dyDescent="0.25">
      <c r="A119" t="s">
        <v>16</v>
      </c>
      <c r="B119" t="s">
        <v>247</v>
      </c>
      <c r="C119" t="s">
        <v>278</v>
      </c>
      <c r="D119" t="s">
        <v>279</v>
      </c>
      <c r="E119" s="1">
        <v>45569</v>
      </c>
      <c r="F119" s="1"/>
      <c r="G119" t="s">
        <v>51</v>
      </c>
      <c r="H119" t="s">
        <v>20</v>
      </c>
      <c r="I119" t="s">
        <v>41</v>
      </c>
      <c r="J119" s="1">
        <v>46113</v>
      </c>
      <c r="K119" t="s">
        <v>22</v>
      </c>
      <c r="L119" t="s">
        <v>58</v>
      </c>
      <c r="M119" t="s">
        <v>64</v>
      </c>
      <c r="N119">
        <v>0.11</v>
      </c>
      <c r="O119" t="s">
        <v>169</v>
      </c>
      <c r="P119">
        <v>2024</v>
      </c>
    </row>
    <row r="120" spans="1:16" x14ac:dyDescent="0.25">
      <c r="A120" t="s">
        <v>280</v>
      </c>
      <c r="C120" t="s">
        <v>281</v>
      </c>
      <c r="D120" t="s">
        <v>282</v>
      </c>
      <c r="E120" s="1">
        <v>44420</v>
      </c>
      <c r="F120" s="1"/>
      <c r="G120" t="s">
        <v>44</v>
      </c>
      <c r="H120" t="s">
        <v>20</v>
      </c>
      <c r="I120" t="s">
        <v>21</v>
      </c>
      <c r="J120" s="1">
        <v>46382</v>
      </c>
      <c r="K120" t="s">
        <v>45</v>
      </c>
      <c r="L120" t="s">
        <v>33</v>
      </c>
      <c r="M120" t="s">
        <v>24</v>
      </c>
      <c r="N120">
        <v>10</v>
      </c>
      <c r="O120" t="s">
        <v>73</v>
      </c>
      <c r="P120">
        <v>2021</v>
      </c>
    </row>
    <row r="121" spans="1:16" x14ac:dyDescent="0.25">
      <c r="A121" t="s">
        <v>280</v>
      </c>
      <c r="C121" t="s">
        <v>283</v>
      </c>
      <c r="D121" t="s">
        <v>284</v>
      </c>
      <c r="E121" s="1">
        <v>44686</v>
      </c>
      <c r="F121" s="1"/>
      <c r="G121" t="s">
        <v>51</v>
      </c>
      <c r="H121" t="s">
        <v>20</v>
      </c>
      <c r="I121" t="s">
        <v>21</v>
      </c>
      <c r="J121" s="1">
        <v>46071</v>
      </c>
      <c r="K121" t="s">
        <v>45</v>
      </c>
      <c r="L121" t="s">
        <v>33</v>
      </c>
      <c r="M121" t="s">
        <v>24</v>
      </c>
      <c r="N121">
        <v>15</v>
      </c>
      <c r="O121" t="s">
        <v>93</v>
      </c>
      <c r="P121">
        <v>2022</v>
      </c>
    </row>
    <row r="122" spans="1:16" x14ac:dyDescent="0.25">
      <c r="A122" t="s">
        <v>280</v>
      </c>
      <c r="C122" t="s">
        <v>285</v>
      </c>
      <c r="D122" t="s">
        <v>286</v>
      </c>
      <c r="E122" s="1">
        <v>44768</v>
      </c>
      <c r="F122" s="1"/>
      <c r="G122" t="s">
        <v>51</v>
      </c>
      <c r="H122" t="s">
        <v>20</v>
      </c>
      <c r="I122" t="s">
        <v>21</v>
      </c>
      <c r="J122" s="1">
        <v>46032</v>
      </c>
      <c r="K122" t="s">
        <v>22</v>
      </c>
      <c r="L122" t="s">
        <v>33</v>
      </c>
      <c r="M122" t="s">
        <v>24</v>
      </c>
      <c r="N122">
        <v>7</v>
      </c>
      <c r="O122" t="s">
        <v>93</v>
      </c>
      <c r="P122">
        <v>2022</v>
      </c>
    </row>
    <row r="123" spans="1:16" x14ac:dyDescent="0.25">
      <c r="A123" t="s">
        <v>280</v>
      </c>
      <c r="C123" t="s">
        <v>287</v>
      </c>
      <c r="D123" t="s">
        <v>288</v>
      </c>
      <c r="E123" s="1">
        <v>44868</v>
      </c>
      <c r="F123" s="1"/>
      <c r="G123" t="s">
        <v>51</v>
      </c>
      <c r="H123" t="s">
        <v>20</v>
      </c>
      <c r="I123" t="s">
        <v>21</v>
      </c>
      <c r="J123" s="1">
        <v>46043</v>
      </c>
      <c r="K123" t="s">
        <v>45</v>
      </c>
      <c r="L123" t="s">
        <v>33</v>
      </c>
      <c r="M123" t="s">
        <v>24</v>
      </c>
      <c r="N123">
        <v>15</v>
      </c>
      <c r="O123" t="s">
        <v>93</v>
      </c>
      <c r="P123">
        <v>2022</v>
      </c>
    </row>
    <row r="124" spans="1:16" x14ac:dyDescent="0.25">
      <c r="A124" t="s">
        <v>280</v>
      </c>
      <c r="C124" t="s">
        <v>289</v>
      </c>
      <c r="D124" t="s">
        <v>290</v>
      </c>
      <c r="E124" s="1">
        <v>44901</v>
      </c>
      <c r="F124" s="1"/>
      <c r="G124" t="s">
        <v>51</v>
      </c>
      <c r="H124" t="s">
        <v>20</v>
      </c>
      <c r="I124" t="s">
        <v>21</v>
      </c>
      <c r="J124" s="1">
        <v>46158</v>
      </c>
      <c r="K124" t="s">
        <v>45</v>
      </c>
      <c r="L124" t="s">
        <v>33</v>
      </c>
      <c r="M124" t="s">
        <v>24</v>
      </c>
      <c r="N124">
        <v>16</v>
      </c>
      <c r="O124" t="s">
        <v>93</v>
      </c>
      <c r="P124">
        <v>2022</v>
      </c>
    </row>
    <row r="125" spans="1:16" x14ac:dyDescent="0.25">
      <c r="A125" t="s">
        <v>280</v>
      </c>
      <c r="C125" t="s">
        <v>291</v>
      </c>
      <c r="D125" t="s">
        <v>292</v>
      </c>
      <c r="E125" s="1">
        <v>45057</v>
      </c>
      <c r="F125" s="1"/>
      <c r="G125" t="s">
        <v>51</v>
      </c>
      <c r="H125" t="s">
        <v>20</v>
      </c>
      <c r="I125" t="s">
        <v>21</v>
      </c>
      <c r="J125" s="1">
        <v>46308</v>
      </c>
      <c r="K125" t="s">
        <v>45</v>
      </c>
      <c r="L125" t="s">
        <v>33</v>
      </c>
      <c r="M125" t="s">
        <v>24</v>
      </c>
      <c r="N125">
        <v>11.5</v>
      </c>
      <c r="O125" t="s">
        <v>128</v>
      </c>
      <c r="P125">
        <v>2023</v>
      </c>
    </row>
    <row r="126" spans="1:16" x14ac:dyDescent="0.25">
      <c r="A126" t="s">
        <v>293</v>
      </c>
      <c r="C126" t="s">
        <v>294</v>
      </c>
      <c r="D126" t="s">
        <v>295</v>
      </c>
      <c r="E126" s="1">
        <v>45658</v>
      </c>
      <c r="F126" s="1"/>
      <c r="G126" t="s">
        <v>48</v>
      </c>
      <c r="H126" t="s">
        <v>20</v>
      </c>
      <c r="I126" t="s">
        <v>41</v>
      </c>
      <c r="J126" s="1">
        <v>46037</v>
      </c>
      <c r="K126" t="s">
        <v>22</v>
      </c>
      <c r="L126" t="s">
        <v>58</v>
      </c>
      <c r="M126" t="s">
        <v>24</v>
      </c>
      <c r="N126">
        <v>0</v>
      </c>
      <c r="O126" t="s">
        <v>169</v>
      </c>
      <c r="P126">
        <v>2025</v>
      </c>
    </row>
    <row r="127" spans="1:16" x14ac:dyDescent="0.25">
      <c r="A127" t="s">
        <v>293</v>
      </c>
      <c r="C127" t="s">
        <v>296</v>
      </c>
      <c r="D127" t="s">
        <v>297</v>
      </c>
      <c r="E127" s="1">
        <v>44075</v>
      </c>
      <c r="F127" s="1">
        <v>44183</v>
      </c>
      <c r="G127" t="s">
        <v>37</v>
      </c>
      <c r="H127" t="s">
        <v>212</v>
      </c>
      <c r="I127" t="s">
        <v>21</v>
      </c>
      <c r="J127" s="1">
        <v>46298</v>
      </c>
      <c r="K127" t="s">
        <v>45</v>
      </c>
      <c r="L127" t="s">
        <v>33</v>
      </c>
      <c r="M127" t="s">
        <v>34</v>
      </c>
      <c r="N127">
        <v>6.5</v>
      </c>
      <c r="O127" t="s">
        <v>25</v>
      </c>
      <c r="P127">
        <v>2020</v>
      </c>
    </row>
    <row r="128" spans="1:16" x14ac:dyDescent="0.25">
      <c r="A128" t="s">
        <v>293</v>
      </c>
      <c r="C128" t="s">
        <v>298</v>
      </c>
      <c r="D128" t="s">
        <v>299</v>
      </c>
      <c r="E128" s="1">
        <v>44469</v>
      </c>
      <c r="F128" s="1">
        <v>44834</v>
      </c>
      <c r="G128" t="s">
        <v>51</v>
      </c>
      <c r="H128" t="s">
        <v>212</v>
      </c>
      <c r="I128" t="s">
        <v>41</v>
      </c>
      <c r="J128" s="1">
        <v>46123</v>
      </c>
      <c r="K128" t="s">
        <v>22</v>
      </c>
      <c r="L128" t="s">
        <v>212</v>
      </c>
      <c r="M128" t="s">
        <v>153</v>
      </c>
      <c r="N128">
        <v>0</v>
      </c>
      <c r="O128" t="s">
        <v>73</v>
      </c>
      <c r="P128">
        <v>2021</v>
      </c>
    </row>
    <row r="129" spans="1:16" x14ac:dyDescent="0.25">
      <c r="A129" t="s">
        <v>293</v>
      </c>
      <c r="C129" t="s">
        <v>300</v>
      </c>
      <c r="D129" t="s">
        <v>301</v>
      </c>
      <c r="E129" s="1">
        <v>44655</v>
      </c>
      <c r="F129" s="1">
        <v>44758</v>
      </c>
      <c r="G129" t="s">
        <v>53</v>
      </c>
      <c r="H129" t="s">
        <v>212</v>
      </c>
      <c r="I129" t="s">
        <v>21</v>
      </c>
      <c r="J129" s="1">
        <v>46257</v>
      </c>
      <c r="K129" t="s">
        <v>22</v>
      </c>
      <c r="L129" t="s">
        <v>212</v>
      </c>
      <c r="M129" t="s">
        <v>28</v>
      </c>
      <c r="N129">
        <v>2</v>
      </c>
      <c r="O129" t="s">
        <v>93</v>
      </c>
      <c r="P129">
        <v>2022</v>
      </c>
    </row>
    <row r="130" spans="1:16" x14ac:dyDescent="0.25">
      <c r="A130" t="s">
        <v>293</v>
      </c>
      <c r="C130" t="s">
        <v>302</v>
      </c>
      <c r="D130" t="s">
        <v>303</v>
      </c>
      <c r="E130" s="1">
        <v>44715</v>
      </c>
      <c r="F130" s="1">
        <v>44951</v>
      </c>
      <c r="G130" t="s">
        <v>51</v>
      </c>
      <c r="H130" t="s">
        <v>212</v>
      </c>
      <c r="I130" t="s">
        <v>21</v>
      </c>
      <c r="J130" s="1">
        <v>46052</v>
      </c>
      <c r="K130" t="s">
        <v>22</v>
      </c>
      <c r="L130" t="s">
        <v>212</v>
      </c>
      <c r="M130" t="s">
        <v>153</v>
      </c>
      <c r="N130">
        <v>2.8</v>
      </c>
      <c r="O130" t="s">
        <v>93</v>
      </c>
      <c r="P130">
        <v>2022</v>
      </c>
    </row>
    <row r="131" spans="1:16" x14ac:dyDescent="0.25">
      <c r="A131" t="s">
        <v>293</v>
      </c>
      <c r="C131" t="s">
        <v>304</v>
      </c>
      <c r="D131" t="s">
        <v>305</v>
      </c>
      <c r="E131" s="1">
        <v>44721</v>
      </c>
      <c r="F131" s="1">
        <v>45149</v>
      </c>
      <c r="G131" t="s">
        <v>51</v>
      </c>
      <c r="H131" t="s">
        <v>212</v>
      </c>
      <c r="I131" t="s">
        <v>21</v>
      </c>
      <c r="J131" s="1">
        <v>46323</v>
      </c>
      <c r="K131" t="s">
        <v>22</v>
      </c>
      <c r="L131" t="s">
        <v>212</v>
      </c>
      <c r="M131" t="s">
        <v>64</v>
      </c>
      <c r="N131">
        <v>0</v>
      </c>
      <c r="O131" t="s">
        <v>93</v>
      </c>
      <c r="P131">
        <v>2022</v>
      </c>
    </row>
    <row r="132" spans="1:16" x14ac:dyDescent="0.25">
      <c r="A132" t="s">
        <v>293</v>
      </c>
      <c r="C132" t="s">
        <v>306</v>
      </c>
      <c r="D132" t="s">
        <v>307</v>
      </c>
      <c r="E132" s="1">
        <v>44749</v>
      </c>
      <c r="F132" s="1">
        <v>45168</v>
      </c>
      <c r="G132" t="s">
        <v>44</v>
      </c>
      <c r="H132" t="s">
        <v>212</v>
      </c>
      <c r="I132" t="s">
        <v>21</v>
      </c>
      <c r="J132" s="1">
        <v>46382</v>
      </c>
      <c r="K132" t="s">
        <v>22</v>
      </c>
      <c r="L132" t="s">
        <v>212</v>
      </c>
      <c r="M132" t="s">
        <v>64</v>
      </c>
      <c r="N132">
        <v>3</v>
      </c>
      <c r="O132" t="s">
        <v>93</v>
      </c>
      <c r="P132">
        <v>2022</v>
      </c>
    </row>
    <row r="133" spans="1:16" x14ac:dyDescent="0.25">
      <c r="A133" t="s">
        <v>293</v>
      </c>
      <c r="C133" t="s">
        <v>308</v>
      </c>
      <c r="D133" t="s">
        <v>309</v>
      </c>
      <c r="E133" s="1">
        <v>44777</v>
      </c>
      <c r="F133" s="1">
        <v>45059</v>
      </c>
      <c r="G133" t="s">
        <v>51</v>
      </c>
      <c r="H133" t="s">
        <v>212</v>
      </c>
      <c r="I133" t="s">
        <v>21</v>
      </c>
      <c r="J133" s="1">
        <v>46119</v>
      </c>
      <c r="K133" t="s">
        <v>22</v>
      </c>
      <c r="L133" t="s">
        <v>212</v>
      </c>
      <c r="M133" t="s">
        <v>61</v>
      </c>
      <c r="N133">
        <v>5.9</v>
      </c>
      <c r="O133" t="s">
        <v>93</v>
      </c>
      <c r="P133">
        <v>2022</v>
      </c>
    </row>
    <row r="134" spans="1:16" x14ac:dyDescent="0.25">
      <c r="A134" t="s">
        <v>293</v>
      </c>
      <c r="C134" t="s">
        <v>310</v>
      </c>
      <c r="D134" t="s">
        <v>311</v>
      </c>
      <c r="E134" s="1">
        <v>44812</v>
      </c>
      <c r="F134" s="1">
        <v>45290</v>
      </c>
      <c r="G134" t="s">
        <v>40</v>
      </c>
      <c r="H134" t="s">
        <v>212</v>
      </c>
      <c r="I134" t="s">
        <v>41</v>
      </c>
      <c r="J134" s="1">
        <v>46138</v>
      </c>
      <c r="K134" t="s">
        <v>22</v>
      </c>
      <c r="L134" t="s">
        <v>212</v>
      </c>
      <c r="M134" t="s">
        <v>153</v>
      </c>
      <c r="N134">
        <v>1</v>
      </c>
      <c r="O134" t="s">
        <v>93</v>
      </c>
      <c r="P134">
        <v>2022</v>
      </c>
    </row>
    <row r="135" spans="1:16" x14ac:dyDescent="0.25">
      <c r="A135" t="s">
        <v>293</v>
      </c>
      <c r="C135" t="s">
        <v>312</v>
      </c>
      <c r="D135" t="s">
        <v>313</v>
      </c>
      <c r="E135" s="1">
        <v>44947</v>
      </c>
      <c r="F135" s="1">
        <v>45251</v>
      </c>
      <c r="G135" t="s">
        <v>19</v>
      </c>
      <c r="H135" t="s">
        <v>212</v>
      </c>
      <c r="I135" t="s">
        <v>21</v>
      </c>
      <c r="J135" s="1">
        <v>46271</v>
      </c>
      <c r="K135" t="s">
        <v>22</v>
      </c>
      <c r="L135" t="s">
        <v>212</v>
      </c>
      <c r="M135" t="s">
        <v>153</v>
      </c>
      <c r="N135">
        <v>0</v>
      </c>
      <c r="O135" t="s">
        <v>128</v>
      </c>
      <c r="P135">
        <v>2023</v>
      </c>
    </row>
    <row r="136" spans="1:16" x14ac:dyDescent="0.25">
      <c r="A136" t="s">
        <v>293</v>
      </c>
      <c r="C136" t="s">
        <v>314</v>
      </c>
      <c r="D136" t="s">
        <v>315</v>
      </c>
      <c r="E136" s="1">
        <v>45083</v>
      </c>
      <c r="F136" s="1">
        <v>45415</v>
      </c>
      <c r="G136" t="s">
        <v>19</v>
      </c>
      <c r="H136" t="s">
        <v>212</v>
      </c>
      <c r="I136" t="s">
        <v>41</v>
      </c>
      <c r="J136" s="1">
        <v>46081</v>
      </c>
      <c r="K136" t="s">
        <v>22</v>
      </c>
      <c r="L136" t="s">
        <v>212</v>
      </c>
      <c r="M136" t="s">
        <v>64</v>
      </c>
      <c r="N136">
        <v>0.1</v>
      </c>
      <c r="O136" t="s">
        <v>128</v>
      </c>
      <c r="P136">
        <v>2023</v>
      </c>
    </row>
    <row r="137" spans="1:16" x14ac:dyDescent="0.25">
      <c r="A137" t="s">
        <v>293</v>
      </c>
      <c r="B137" t="s">
        <v>235</v>
      </c>
      <c r="C137" t="s">
        <v>316</v>
      </c>
      <c r="D137" t="s">
        <v>317</v>
      </c>
      <c r="E137" s="1">
        <v>43869</v>
      </c>
      <c r="F137" s="1">
        <v>45473</v>
      </c>
      <c r="G137" t="s">
        <v>48</v>
      </c>
      <c r="H137" t="s">
        <v>20</v>
      </c>
      <c r="I137" t="s">
        <v>41</v>
      </c>
      <c r="J137" s="1">
        <v>46320</v>
      </c>
      <c r="K137" t="s">
        <v>22</v>
      </c>
      <c r="L137" t="s">
        <v>33</v>
      </c>
      <c r="M137" t="s">
        <v>34</v>
      </c>
      <c r="N137">
        <v>5</v>
      </c>
      <c r="O137" t="s">
        <v>25</v>
      </c>
      <c r="P137">
        <v>2020</v>
      </c>
    </row>
    <row r="138" spans="1:16" x14ac:dyDescent="0.25">
      <c r="A138" t="s">
        <v>293</v>
      </c>
      <c r="C138" t="s">
        <v>318</v>
      </c>
      <c r="D138" t="s">
        <v>319</v>
      </c>
      <c r="E138" s="1">
        <v>43874</v>
      </c>
      <c r="F138" s="1">
        <v>45300</v>
      </c>
      <c r="G138" t="s">
        <v>19</v>
      </c>
      <c r="H138" t="s">
        <v>20</v>
      </c>
      <c r="I138" t="s">
        <v>21</v>
      </c>
      <c r="J138" s="1">
        <v>46350</v>
      </c>
      <c r="K138" t="s">
        <v>45</v>
      </c>
      <c r="L138" t="s">
        <v>23</v>
      </c>
      <c r="M138" t="s">
        <v>28</v>
      </c>
      <c r="N138">
        <v>8</v>
      </c>
      <c r="O138" t="s">
        <v>25</v>
      </c>
      <c r="P138">
        <v>2020</v>
      </c>
    </row>
    <row r="139" spans="1:16" x14ac:dyDescent="0.25">
      <c r="A139" t="s">
        <v>293</v>
      </c>
      <c r="C139" t="s">
        <v>320</v>
      </c>
      <c r="D139" t="s">
        <v>321</v>
      </c>
      <c r="E139" s="1">
        <v>43901</v>
      </c>
      <c r="F139" s="1">
        <v>44560</v>
      </c>
      <c r="G139" t="s">
        <v>19</v>
      </c>
      <c r="H139" t="s">
        <v>20</v>
      </c>
      <c r="I139" t="s">
        <v>21</v>
      </c>
      <c r="J139" s="1">
        <v>46384</v>
      </c>
      <c r="K139" t="s">
        <v>45</v>
      </c>
      <c r="L139" t="s">
        <v>33</v>
      </c>
      <c r="M139" t="s">
        <v>34</v>
      </c>
      <c r="N139">
        <v>14</v>
      </c>
      <c r="O139" t="s">
        <v>25</v>
      </c>
      <c r="P139">
        <v>2020</v>
      </c>
    </row>
    <row r="140" spans="1:16" x14ac:dyDescent="0.25">
      <c r="A140" t="s">
        <v>293</v>
      </c>
      <c r="C140" t="s">
        <v>322</v>
      </c>
      <c r="D140" t="s">
        <v>323</v>
      </c>
      <c r="E140" s="1">
        <v>44008</v>
      </c>
      <c r="F140" s="1">
        <v>44377</v>
      </c>
      <c r="G140" t="s">
        <v>40</v>
      </c>
      <c r="H140" t="s">
        <v>20</v>
      </c>
      <c r="I140" t="s">
        <v>41</v>
      </c>
      <c r="J140" s="1">
        <v>46169</v>
      </c>
      <c r="K140" t="s">
        <v>22</v>
      </c>
      <c r="L140" t="s">
        <v>58</v>
      </c>
      <c r="M140" t="s">
        <v>34</v>
      </c>
      <c r="N140">
        <v>0</v>
      </c>
      <c r="O140" t="s">
        <v>25</v>
      </c>
      <c r="P140">
        <v>2020</v>
      </c>
    </row>
    <row r="141" spans="1:16" x14ac:dyDescent="0.25">
      <c r="A141" t="s">
        <v>293</v>
      </c>
      <c r="C141" t="s">
        <v>324</v>
      </c>
      <c r="D141" t="s">
        <v>51</v>
      </c>
      <c r="E141" s="1">
        <v>44057</v>
      </c>
      <c r="F141" s="1">
        <v>44741</v>
      </c>
      <c r="G141" t="s">
        <v>19</v>
      </c>
      <c r="H141" t="s">
        <v>20</v>
      </c>
      <c r="I141" t="s">
        <v>21</v>
      </c>
      <c r="J141" s="1">
        <v>46037</v>
      </c>
      <c r="K141" t="s">
        <v>22</v>
      </c>
      <c r="L141" t="s">
        <v>33</v>
      </c>
      <c r="M141" t="s">
        <v>24</v>
      </c>
      <c r="N141">
        <v>5</v>
      </c>
      <c r="O141" t="s">
        <v>25</v>
      </c>
      <c r="P141">
        <v>2020</v>
      </c>
    </row>
    <row r="142" spans="1:16" x14ac:dyDescent="0.25">
      <c r="A142" t="s">
        <v>293</v>
      </c>
      <c r="C142" t="s">
        <v>325</v>
      </c>
      <c r="D142" t="s">
        <v>326</v>
      </c>
      <c r="E142" s="1">
        <v>44069</v>
      </c>
      <c r="F142" s="1">
        <v>44681</v>
      </c>
      <c r="G142" t="s">
        <v>19</v>
      </c>
      <c r="H142" t="s">
        <v>20</v>
      </c>
      <c r="I142" t="s">
        <v>21</v>
      </c>
      <c r="J142" s="1">
        <v>46062</v>
      </c>
      <c r="K142" t="s">
        <v>45</v>
      </c>
      <c r="L142" t="s">
        <v>33</v>
      </c>
      <c r="M142" t="s">
        <v>24</v>
      </c>
      <c r="N142">
        <v>4.8</v>
      </c>
      <c r="O142" t="s">
        <v>25</v>
      </c>
      <c r="P142">
        <v>2020</v>
      </c>
    </row>
    <row r="143" spans="1:16" x14ac:dyDescent="0.25">
      <c r="A143" t="s">
        <v>293</v>
      </c>
      <c r="C143" t="s">
        <v>327</v>
      </c>
      <c r="D143" t="s">
        <v>328</v>
      </c>
      <c r="E143" s="1">
        <v>44083</v>
      </c>
      <c r="F143" s="1">
        <v>45311</v>
      </c>
      <c r="G143" t="s">
        <v>19</v>
      </c>
      <c r="H143" t="s">
        <v>20</v>
      </c>
      <c r="I143" t="s">
        <v>41</v>
      </c>
      <c r="J143" s="1">
        <v>46333</v>
      </c>
      <c r="K143" t="s">
        <v>45</v>
      </c>
      <c r="L143" t="s">
        <v>58</v>
      </c>
      <c r="M143" t="s">
        <v>24</v>
      </c>
      <c r="N143">
        <v>0</v>
      </c>
      <c r="O143" t="s">
        <v>25</v>
      </c>
      <c r="P143">
        <v>2020</v>
      </c>
    </row>
    <row r="144" spans="1:16" x14ac:dyDescent="0.25">
      <c r="A144" t="s">
        <v>293</v>
      </c>
      <c r="C144" t="s">
        <v>329</v>
      </c>
      <c r="D144" t="s">
        <v>37</v>
      </c>
      <c r="E144" s="1">
        <v>44090</v>
      </c>
      <c r="F144" s="1">
        <v>44258</v>
      </c>
      <c r="G144" t="s">
        <v>44</v>
      </c>
      <c r="H144" t="s">
        <v>20</v>
      </c>
      <c r="I144" t="s">
        <v>21</v>
      </c>
      <c r="J144" s="1">
        <v>46046</v>
      </c>
      <c r="K144" t="s">
        <v>22</v>
      </c>
      <c r="L144" t="s">
        <v>23</v>
      </c>
      <c r="M144" t="s">
        <v>24</v>
      </c>
      <c r="N144">
        <v>9</v>
      </c>
      <c r="O144" t="s">
        <v>25</v>
      </c>
      <c r="P144">
        <v>2020</v>
      </c>
    </row>
    <row r="145" spans="1:16" x14ac:dyDescent="0.25">
      <c r="A145" t="s">
        <v>293</v>
      </c>
      <c r="C145" t="s">
        <v>330</v>
      </c>
      <c r="D145" t="s">
        <v>19</v>
      </c>
      <c r="E145" s="1">
        <v>44090</v>
      </c>
      <c r="F145" s="1">
        <v>44395</v>
      </c>
      <c r="G145" t="s">
        <v>40</v>
      </c>
      <c r="H145" t="s">
        <v>20</v>
      </c>
      <c r="I145" t="s">
        <v>21</v>
      </c>
      <c r="J145" s="1">
        <v>46362</v>
      </c>
      <c r="K145" t="s">
        <v>22</v>
      </c>
      <c r="L145" t="s">
        <v>58</v>
      </c>
      <c r="M145" t="s">
        <v>64</v>
      </c>
      <c r="N145">
        <v>0</v>
      </c>
      <c r="O145" t="s">
        <v>25</v>
      </c>
      <c r="P145">
        <v>2020</v>
      </c>
    </row>
    <row r="146" spans="1:16" x14ac:dyDescent="0.25">
      <c r="A146" t="s">
        <v>293</v>
      </c>
      <c r="C146" t="s">
        <v>331</v>
      </c>
      <c r="D146" t="s">
        <v>332</v>
      </c>
      <c r="E146" s="1">
        <v>44090</v>
      </c>
      <c r="F146" s="1">
        <v>45106</v>
      </c>
      <c r="G146" t="s">
        <v>40</v>
      </c>
      <c r="H146" t="s">
        <v>20</v>
      </c>
      <c r="I146" t="s">
        <v>21</v>
      </c>
      <c r="J146" s="1">
        <v>46056</v>
      </c>
      <c r="K146" t="s">
        <v>22</v>
      </c>
      <c r="L146" t="s">
        <v>58</v>
      </c>
      <c r="M146" t="s">
        <v>64</v>
      </c>
      <c r="N146">
        <v>0</v>
      </c>
      <c r="O146" t="s">
        <v>25</v>
      </c>
      <c r="P146">
        <v>2020</v>
      </c>
    </row>
    <row r="147" spans="1:16" x14ac:dyDescent="0.25">
      <c r="A147" t="s">
        <v>293</v>
      </c>
      <c r="C147" t="s">
        <v>333</v>
      </c>
      <c r="D147" t="s">
        <v>334</v>
      </c>
      <c r="E147" s="1">
        <v>44090</v>
      </c>
      <c r="F147" s="1">
        <v>45195</v>
      </c>
      <c r="G147" t="s">
        <v>40</v>
      </c>
      <c r="H147" t="s">
        <v>20</v>
      </c>
      <c r="I147" t="s">
        <v>21</v>
      </c>
      <c r="J147" s="1">
        <v>46109</v>
      </c>
      <c r="K147" t="s">
        <v>22</v>
      </c>
      <c r="L147" t="s">
        <v>58</v>
      </c>
      <c r="M147" t="s">
        <v>64</v>
      </c>
      <c r="N147">
        <v>0</v>
      </c>
      <c r="O147" t="s">
        <v>25</v>
      </c>
      <c r="P147">
        <v>2020</v>
      </c>
    </row>
    <row r="148" spans="1:16" x14ac:dyDescent="0.25">
      <c r="A148" t="s">
        <v>293</v>
      </c>
      <c r="C148" t="s">
        <v>335</v>
      </c>
      <c r="D148" t="s">
        <v>336</v>
      </c>
      <c r="E148" s="1">
        <v>44090</v>
      </c>
      <c r="F148" s="1">
        <v>45283</v>
      </c>
      <c r="G148" t="s">
        <v>40</v>
      </c>
      <c r="H148" t="s">
        <v>20</v>
      </c>
      <c r="I148" t="s">
        <v>21</v>
      </c>
      <c r="J148" s="1">
        <v>46273</v>
      </c>
      <c r="K148" t="s">
        <v>22</v>
      </c>
      <c r="L148" t="s">
        <v>58</v>
      </c>
      <c r="M148" t="s">
        <v>64</v>
      </c>
      <c r="N148">
        <v>0</v>
      </c>
      <c r="O148" t="s">
        <v>25</v>
      </c>
      <c r="P148">
        <v>2020</v>
      </c>
    </row>
    <row r="149" spans="1:16" x14ac:dyDescent="0.25">
      <c r="A149" t="s">
        <v>293</v>
      </c>
      <c r="C149" t="s">
        <v>337</v>
      </c>
      <c r="D149" t="s">
        <v>338</v>
      </c>
      <c r="E149" s="1">
        <v>44090</v>
      </c>
      <c r="F149" s="1">
        <v>45318</v>
      </c>
      <c r="G149" t="s">
        <v>40</v>
      </c>
      <c r="H149" t="s">
        <v>20</v>
      </c>
      <c r="I149" t="s">
        <v>41</v>
      </c>
      <c r="J149" s="1">
        <v>46309</v>
      </c>
      <c r="K149" t="s">
        <v>45</v>
      </c>
      <c r="L149" t="s">
        <v>58</v>
      </c>
      <c r="M149" t="s">
        <v>64</v>
      </c>
      <c r="N149">
        <v>0</v>
      </c>
      <c r="O149" t="s">
        <v>25</v>
      </c>
      <c r="P149">
        <v>2020</v>
      </c>
    </row>
    <row r="150" spans="1:16" x14ac:dyDescent="0.25">
      <c r="A150" t="s">
        <v>293</v>
      </c>
      <c r="C150" t="s">
        <v>339</v>
      </c>
      <c r="D150" t="s">
        <v>340</v>
      </c>
      <c r="E150" s="1">
        <v>44090</v>
      </c>
      <c r="F150" s="1">
        <v>45368</v>
      </c>
      <c r="G150" t="s">
        <v>48</v>
      </c>
      <c r="H150" t="s">
        <v>20</v>
      </c>
      <c r="I150" t="s">
        <v>21</v>
      </c>
      <c r="J150" s="1">
        <v>46296</v>
      </c>
      <c r="K150" t="s">
        <v>22</v>
      </c>
      <c r="L150" t="s">
        <v>58</v>
      </c>
      <c r="M150" t="s">
        <v>64</v>
      </c>
      <c r="N150">
        <v>0</v>
      </c>
      <c r="O150" t="s">
        <v>25</v>
      </c>
      <c r="P150">
        <v>2020</v>
      </c>
    </row>
    <row r="151" spans="1:16" x14ac:dyDescent="0.25">
      <c r="A151" t="s">
        <v>293</v>
      </c>
      <c r="C151" t="s">
        <v>341</v>
      </c>
      <c r="D151" t="s">
        <v>342</v>
      </c>
      <c r="E151" s="1">
        <v>44090</v>
      </c>
      <c r="F151" s="1">
        <v>45564</v>
      </c>
      <c r="G151" t="s">
        <v>51</v>
      </c>
      <c r="H151" t="s">
        <v>20</v>
      </c>
      <c r="I151" t="s">
        <v>41</v>
      </c>
      <c r="J151" s="1">
        <v>46281</v>
      </c>
      <c r="K151" t="s">
        <v>22</v>
      </c>
      <c r="L151" t="s">
        <v>33</v>
      </c>
      <c r="M151" t="s">
        <v>64</v>
      </c>
      <c r="N151">
        <v>0</v>
      </c>
      <c r="O151" t="s">
        <v>25</v>
      </c>
      <c r="P151">
        <v>2020</v>
      </c>
    </row>
    <row r="152" spans="1:16" x14ac:dyDescent="0.25">
      <c r="A152" t="s">
        <v>293</v>
      </c>
      <c r="C152" t="s">
        <v>343</v>
      </c>
      <c r="D152" t="s">
        <v>344</v>
      </c>
      <c r="E152" s="1">
        <v>44120</v>
      </c>
      <c r="F152" s="1">
        <v>45325</v>
      </c>
      <c r="G152" t="s">
        <v>48</v>
      </c>
      <c r="H152" t="s">
        <v>20</v>
      </c>
      <c r="I152" t="s">
        <v>21</v>
      </c>
      <c r="J152" s="1">
        <v>46046</v>
      </c>
      <c r="K152" t="s">
        <v>45</v>
      </c>
      <c r="L152" t="s">
        <v>23</v>
      </c>
      <c r="M152" t="s">
        <v>64</v>
      </c>
      <c r="N152">
        <v>12</v>
      </c>
      <c r="O152" t="s">
        <v>25</v>
      </c>
      <c r="P152">
        <v>2020</v>
      </c>
    </row>
    <row r="153" spans="1:16" x14ac:dyDescent="0.25">
      <c r="A153" t="s">
        <v>293</v>
      </c>
      <c r="C153" t="s">
        <v>345</v>
      </c>
      <c r="D153" t="s">
        <v>346</v>
      </c>
      <c r="E153" s="1">
        <v>44163</v>
      </c>
      <c r="F153" s="1">
        <v>45016</v>
      </c>
      <c r="G153" t="s">
        <v>37</v>
      </c>
      <c r="H153" t="s">
        <v>20</v>
      </c>
      <c r="I153" t="s">
        <v>21</v>
      </c>
      <c r="J153" s="1">
        <v>46122</v>
      </c>
      <c r="K153" t="s">
        <v>45</v>
      </c>
      <c r="L153" t="s">
        <v>33</v>
      </c>
      <c r="M153" t="s">
        <v>34</v>
      </c>
      <c r="N153">
        <v>6</v>
      </c>
      <c r="O153" t="s">
        <v>25</v>
      </c>
      <c r="P153">
        <v>2020</v>
      </c>
    </row>
    <row r="154" spans="1:16" x14ac:dyDescent="0.25">
      <c r="A154" t="s">
        <v>293</v>
      </c>
      <c r="C154" t="s">
        <v>347</v>
      </c>
      <c r="D154" t="s">
        <v>348</v>
      </c>
      <c r="E154" s="1">
        <v>44186</v>
      </c>
      <c r="F154" s="1">
        <v>44651</v>
      </c>
      <c r="G154" t="s">
        <v>37</v>
      </c>
      <c r="H154" t="s">
        <v>20</v>
      </c>
      <c r="I154" t="s">
        <v>21</v>
      </c>
      <c r="J154" s="1">
        <v>46042</v>
      </c>
      <c r="K154" t="s">
        <v>45</v>
      </c>
      <c r="L154" t="s">
        <v>33</v>
      </c>
      <c r="M154" t="s">
        <v>28</v>
      </c>
      <c r="N154">
        <v>9</v>
      </c>
      <c r="O154" t="s">
        <v>25</v>
      </c>
      <c r="P154">
        <v>2020</v>
      </c>
    </row>
    <row r="155" spans="1:16" x14ac:dyDescent="0.25">
      <c r="A155" t="s">
        <v>293</v>
      </c>
      <c r="C155" t="s">
        <v>349</v>
      </c>
      <c r="D155" t="s">
        <v>350</v>
      </c>
      <c r="E155" s="1">
        <v>44191</v>
      </c>
      <c r="F155" s="1">
        <v>45108</v>
      </c>
      <c r="G155" t="s">
        <v>37</v>
      </c>
      <c r="H155" t="s">
        <v>20</v>
      </c>
      <c r="I155" t="s">
        <v>41</v>
      </c>
      <c r="J155" s="1">
        <v>46225</v>
      </c>
      <c r="K155" t="s">
        <v>22</v>
      </c>
      <c r="L155" t="s">
        <v>58</v>
      </c>
      <c r="M155" t="s">
        <v>24</v>
      </c>
      <c r="N155">
        <v>0</v>
      </c>
      <c r="O155" t="s">
        <v>25</v>
      </c>
      <c r="P155">
        <v>2020</v>
      </c>
    </row>
    <row r="156" spans="1:16" x14ac:dyDescent="0.25">
      <c r="A156" t="s">
        <v>293</v>
      </c>
      <c r="C156" t="s">
        <v>351</v>
      </c>
      <c r="D156" t="s">
        <v>352</v>
      </c>
      <c r="E156" s="1">
        <v>44218</v>
      </c>
      <c r="F156" s="1">
        <v>44635</v>
      </c>
      <c r="G156" t="s">
        <v>40</v>
      </c>
      <c r="H156" t="s">
        <v>20</v>
      </c>
      <c r="I156" t="s">
        <v>41</v>
      </c>
      <c r="J156" s="1">
        <v>46061</v>
      </c>
      <c r="K156" t="s">
        <v>22</v>
      </c>
      <c r="L156" t="s">
        <v>58</v>
      </c>
      <c r="M156" t="s">
        <v>24</v>
      </c>
      <c r="N156">
        <v>0</v>
      </c>
      <c r="O156" t="s">
        <v>73</v>
      </c>
      <c r="P156">
        <v>2021</v>
      </c>
    </row>
    <row r="157" spans="1:16" x14ac:dyDescent="0.25">
      <c r="A157" t="s">
        <v>293</v>
      </c>
      <c r="C157" t="s">
        <v>353</v>
      </c>
      <c r="D157" t="s">
        <v>354</v>
      </c>
      <c r="E157" s="1">
        <v>44218</v>
      </c>
      <c r="F157" s="1">
        <v>44965</v>
      </c>
      <c r="G157" t="s">
        <v>40</v>
      </c>
      <c r="H157" t="s">
        <v>20</v>
      </c>
      <c r="I157" t="s">
        <v>21</v>
      </c>
      <c r="J157" s="1">
        <v>46337</v>
      </c>
      <c r="K157" t="s">
        <v>45</v>
      </c>
      <c r="L157" t="s">
        <v>33</v>
      </c>
      <c r="M157" t="s">
        <v>24</v>
      </c>
      <c r="N157">
        <v>6</v>
      </c>
      <c r="O157" t="s">
        <v>73</v>
      </c>
      <c r="P157">
        <v>2021</v>
      </c>
    </row>
    <row r="158" spans="1:16" x14ac:dyDescent="0.25">
      <c r="A158" t="s">
        <v>293</v>
      </c>
      <c r="C158" t="s">
        <v>355</v>
      </c>
      <c r="D158" t="s">
        <v>356</v>
      </c>
      <c r="E158" s="1">
        <v>44225</v>
      </c>
      <c r="F158" s="1">
        <v>44630</v>
      </c>
      <c r="G158" t="s">
        <v>51</v>
      </c>
      <c r="H158" t="s">
        <v>20</v>
      </c>
      <c r="I158" t="s">
        <v>21</v>
      </c>
      <c r="J158" s="1">
        <v>46047</v>
      </c>
      <c r="K158" t="s">
        <v>45</v>
      </c>
      <c r="L158" t="s">
        <v>23</v>
      </c>
      <c r="M158" t="s">
        <v>34</v>
      </c>
      <c r="N158">
        <v>13</v>
      </c>
      <c r="O158" t="s">
        <v>73</v>
      </c>
      <c r="P158">
        <v>2021</v>
      </c>
    </row>
    <row r="159" spans="1:16" x14ac:dyDescent="0.25">
      <c r="A159" t="s">
        <v>293</v>
      </c>
      <c r="C159" t="s">
        <v>357</v>
      </c>
      <c r="D159" t="s">
        <v>358</v>
      </c>
      <c r="E159" s="1">
        <v>44246</v>
      </c>
      <c r="F159" s="1">
        <v>45199</v>
      </c>
      <c r="G159" t="s">
        <v>53</v>
      </c>
      <c r="H159" t="s">
        <v>20</v>
      </c>
      <c r="I159" t="s">
        <v>21</v>
      </c>
      <c r="J159" s="1">
        <v>46197</v>
      </c>
      <c r="K159" t="s">
        <v>45</v>
      </c>
      <c r="L159" t="s">
        <v>33</v>
      </c>
      <c r="M159" t="s">
        <v>61</v>
      </c>
      <c r="N159">
        <v>5</v>
      </c>
      <c r="O159" t="s">
        <v>73</v>
      </c>
      <c r="P159">
        <v>2021</v>
      </c>
    </row>
    <row r="160" spans="1:16" x14ac:dyDescent="0.25">
      <c r="A160" t="s">
        <v>293</v>
      </c>
      <c r="C160" t="s">
        <v>359</v>
      </c>
      <c r="D160" t="s">
        <v>360</v>
      </c>
      <c r="E160" s="1">
        <v>44251</v>
      </c>
      <c r="F160" s="1">
        <v>44748</v>
      </c>
      <c r="G160" t="s">
        <v>51</v>
      </c>
      <c r="H160" t="s">
        <v>20</v>
      </c>
      <c r="I160" t="s">
        <v>21</v>
      </c>
      <c r="J160" s="1">
        <v>46292</v>
      </c>
      <c r="K160" t="s">
        <v>45</v>
      </c>
      <c r="L160" t="s">
        <v>33</v>
      </c>
      <c r="M160" t="s">
        <v>34</v>
      </c>
      <c r="N160">
        <v>10</v>
      </c>
      <c r="O160" t="s">
        <v>73</v>
      </c>
      <c r="P160">
        <v>2021</v>
      </c>
    </row>
    <row r="161" spans="1:16" x14ac:dyDescent="0.25">
      <c r="A161" t="s">
        <v>293</v>
      </c>
      <c r="C161" t="s">
        <v>361</v>
      </c>
      <c r="D161" t="s">
        <v>362</v>
      </c>
      <c r="E161" s="1">
        <v>44264</v>
      </c>
      <c r="F161" s="1">
        <v>45107</v>
      </c>
      <c r="G161" t="s">
        <v>37</v>
      </c>
      <c r="H161" t="s">
        <v>20</v>
      </c>
      <c r="I161" t="s">
        <v>41</v>
      </c>
      <c r="J161" s="1">
        <v>46189</v>
      </c>
      <c r="K161" t="s">
        <v>45</v>
      </c>
      <c r="L161" t="s">
        <v>33</v>
      </c>
      <c r="M161" t="s">
        <v>24</v>
      </c>
      <c r="N161">
        <v>8</v>
      </c>
      <c r="O161" t="s">
        <v>73</v>
      </c>
      <c r="P161">
        <v>2021</v>
      </c>
    </row>
    <row r="162" spans="1:16" x14ac:dyDescent="0.25">
      <c r="A162" t="s">
        <v>293</v>
      </c>
      <c r="B162" t="s">
        <v>247</v>
      </c>
      <c r="C162" t="s">
        <v>363</v>
      </c>
      <c r="D162" t="s">
        <v>364</v>
      </c>
      <c r="E162" s="1">
        <v>44418</v>
      </c>
      <c r="F162" s="1">
        <v>44611</v>
      </c>
      <c r="G162" t="s">
        <v>40</v>
      </c>
      <c r="H162" t="s">
        <v>20</v>
      </c>
      <c r="I162" t="s">
        <v>41</v>
      </c>
      <c r="J162" s="1">
        <v>46281</v>
      </c>
      <c r="K162" t="s">
        <v>22</v>
      </c>
      <c r="L162" t="s">
        <v>58</v>
      </c>
      <c r="M162" t="s">
        <v>24</v>
      </c>
      <c r="N162">
        <v>0</v>
      </c>
      <c r="O162" t="s">
        <v>73</v>
      </c>
      <c r="P162">
        <v>2021</v>
      </c>
    </row>
    <row r="163" spans="1:16" x14ac:dyDescent="0.25">
      <c r="A163" t="s">
        <v>293</v>
      </c>
      <c r="C163" t="s">
        <v>365</v>
      </c>
      <c r="D163" t="s">
        <v>366</v>
      </c>
      <c r="E163" s="1">
        <v>44425</v>
      </c>
      <c r="F163" s="1">
        <v>44636</v>
      </c>
      <c r="G163" t="s">
        <v>40</v>
      </c>
      <c r="H163" t="s">
        <v>20</v>
      </c>
      <c r="I163" t="s">
        <v>41</v>
      </c>
      <c r="J163" s="1">
        <v>46073</v>
      </c>
      <c r="K163" t="s">
        <v>45</v>
      </c>
      <c r="L163" t="s">
        <v>33</v>
      </c>
      <c r="M163" t="s">
        <v>24</v>
      </c>
      <c r="N163">
        <v>11</v>
      </c>
      <c r="O163" t="s">
        <v>73</v>
      </c>
      <c r="P163">
        <v>2021</v>
      </c>
    </row>
    <row r="164" spans="1:16" x14ac:dyDescent="0.25">
      <c r="A164" t="s">
        <v>293</v>
      </c>
      <c r="C164" t="s">
        <v>367</v>
      </c>
      <c r="D164" t="s">
        <v>368</v>
      </c>
      <c r="E164" s="1">
        <v>44440</v>
      </c>
      <c r="F164" s="1">
        <v>44233</v>
      </c>
      <c r="G164" t="s">
        <v>37</v>
      </c>
      <c r="H164" t="s">
        <v>20</v>
      </c>
      <c r="I164" t="s">
        <v>21</v>
      </c>
      <c r="J164" s="1">
        <v>46164</v>
      </c>
      <c r="K164" t="s">
        <v>45</v>
      </c>
      <c r="L164" t="s">
        <v>33</v>
      </c>
      <c r="M164" t="s">
        <v>28</v>
      </c>
      <c r="N164">
        <v>8</v>
      </c>
      <c r="O164" t="s">
        <v>73</v>
      </c>
      <c r="P164">
        <v>2021</v>
      </c>
    </row>
    <row r="165" spans="1:16" x14ac:dyDescent="0.25">
      <c r="A165" t="s">
        <v>293</v>
      </c>
      <c r="C165" t="s">
        <v>369</v>
      </c>
      <c r="D165" t="s">
        <v>370</v>
      </c>
      <c r="E165" s="1">
        <v>44440</v>
      </c>
      <c r="F165" s="1">
        <v>44282</v>
      </c>
      <c r="G165" t="s">
        <v>40</v>
      </c>
      <c r="H165" t="s">
        <v>20</v>
      </c>
      <c r="I165" t="s">
        <v>41</v>
      </c>
      <c r="J165" s="1">
        <v>46366</v>
      </c>
      <c r="K165" t="s">
        <v>45</v>
      </c>
      <c r="L165" t="s">
        <v>33</v>
      </c>
      <c r="M165" t="s">
        <v>34</v>
      </c>
      <c r="N165">
        <v>12</v>
      </c>
      <c r="O165" t="s">
        <v>73</v>
      </c>
      <c r="P165">
        <v>2021</v>
      </c>
    </row>
    <row r="166" spans="1:16" x14ac:dyDescent="0.25">
      <c r="A166" t="s">
        <v>293</v>
      </c>
      <c r="C166" t="s">
        <v>371</v>
      </c>
      <c r="D166" t="s">
        <v>372</v>
      </c>
      <c r="E166" s="1">
        <v>44490</v>
      </c>
      <c r="F166" s="1">
        <v>44740</v>
      </c>
      <c r="G166" t="s">
        <v>40</v>
      </c>
      <c r="H166" t="s">
        <v>20</v>
      </c>
      <c r="I166" t="s">
        <v>21</v>
      </c>
      <c r="J166" s="1">
        <v>46126</v>
      </c>
      <c r="K166" t="s">
        <v>22</v>
      </c>
      <c r="L166" t="s">
        <v>33</v>
      </c>
      <c r="M166" t="s">
        <v>24</v>
      </c>
      <c r="N166">
        <v>4.5999999999999996</v>
      </c>
      <c r="O166" t="s">
        <v>73</v>
      </c>
      <c r="P166">
        <v>2021</v>
      </c>
    </row>
    <row r="167" spans="1:16" x14ac:dyDescent="0.25">
      <c r="A167" t="s">
        <v>293</v>
      </c>
      <c r="B167" t="s">
        <v>247</v>
      </c>
      <c r="C167" t="s">
        <v>373</v>
      </c>
      <c r="D167" t="s">
        <v>374</v>
      </c>
      <c r="E167" s="1">
        <v>44742</v>
      </c>
      <c r="F167" s="1">
        <v>45108</v>
      </c>
      <c r="G167" t="s">
        <v>51</v>
      </c>
      <c r="H167" t="s">
        <v>20</v>
      </c>
      <c r="I167" t="s">
        <v>21</v>
      </c>
      <c r="J167" s="1">
        <v>46240</v>
      </c>
      <c r="K167" t="s">
        <v>22</v>
      </c>
      <c r="L167" t="s">
        <v>58</v>
      </c>
      <c r="M167" t="s">
        <v>90</v>
      </c>
      <c r="N167">
        <v>1</v>
      </c>
      <c r="O167" t="s">
        <v>93</v>
      </c>
      <c r="P167">
        <v>2022</v>
      </c>
    </row>
    <row r="168" spans="1:16" x14ac:dyDescent="0.25">
      <c r="A168" t="s">
        <v>293</v>
      </c>
      <c r="C168" t="s">
        <v>375</v>
      </c>
      <c r="D168" t="s">
        <v>376</v>
      </c>
      <c r="E168" s="1">
        <v>44749</v>
      </c>
      <c r="F168" s="1">
        <v>45054</v>
      </c>
      <c r="G168" t="s">
        <v>51</v>
      </c>
      <c r="H168" t="s">
        <v>20</v>
      </c>
      <c r="I168" t="s">
        <v>41</v>
      </c>
      <c r="J168" s="1">
        <v>46115</v>
      </c>
      <c r="K168" t="s">
        <v>45</v>
      </c>
      <c r="L168" t="s">
        <v>33</v>
      </c>
      <c r="M168" t="s">
        <v>24</v>
      </c>
      <c r="N168">
        <v>6</v>
      </c>
      <c r="O168" t="s">
        <v>93</v>
      </c>
      <c r="P168">
        <v>2022</v>
      </c>
    </row>
    <row r="169" spans="1:16" x14ac:dyDescent="0.25">
      <c r="A169" t="s">
        <v>293</v>
      </c>
      <c r="C169" t="s">
        <v>377</v>
      </c>
      <c r="D169" t="s">
        <v>378</v>
      </c>
      <c r="E169" s="1">
        <v>44763</v>
      </c>
      <c r="F169" s="1">
        <v>45324</v>
      </c>
      <c r="G169" t="s">
        <v>51</v>
      </c>
      <c r="H169" t="s">
        <v>20</v>
      </c>
      <c r="I169" t="s">
        <v>21</v>
      </c>
      <c r="J169" s="1">
        <v>46034</v>
      </c>
      <c r="K169" t="s">
        <v>45</v>
      </c>
      <c r="L169" t="s">
        <v>23</v>
      </c>
      <c r="M169" t="s">
        <v>34</v>
      </c>
      <c r="N169">
        <v>18</v>
      </c>
      <c r="O169" t="s">
        <v>93</v>
      </c>
      <c r="P169">
        <v>2022</v>
      </c>
    </row>
    <row r="170" spans="1:16" x14ac:dyDescent="0.25">
      <c r="A170" t="s">
        <v>293</v>
      </c>
      <c r="C170" t="s">
        <v>379</v>
      </c>
      <c r="D170" t="s">
        <v>380</v>
      </c>
      <c r="E170" s="1">
        <v>44805</v>
      </c>
      <c r="F170" s="1">
        <v>45269</v>
      </c>
      <c r="G170" t="s">
        <v>40</v>
      </c>
      <c r="H170" t="s">
        <v>20</v>
      </c>
      <c r="I170" t="s">
        <v>41</v>
      </c>
      <c r="J170" s="1">
        <v>46366</v>
      </c>
      <c r="K170" t="s">
        <v>45</v>
      </c>
      <c r="L170" t="s">
        <v>58</v>
      </c>
      <c r="M170" t="s">
        <v>90</v>
      </c>
      <c r="N170">
        <v>1.8</v>
      </c>
      <c r="O170" t="s">
        <v>93</v>
      </c>
      <c r="P170">
        <v>2022</v>
      </c>
    </row>
    <row r="171" spans="1:16" x14ac:dyDescent="0.25">
      <c r="A171" t="s">
        <v>293</v>
      </c>
      <c r="C171" t="s">
        <v>381</v>
      </c>
      <c r="D171" t="s">
        <v>382</v>
      </c>
      <c r="E171" s="1">
        <v>45078</v>
      </c>
      <c r="F171" s="1">
        <v>45118</v>
      </c>
      <c r="G171" t="s">
        <v>40</v>
      </c>
      <c r="H171" t="s">
        <v>20</v>
      </c>
      <c r="I171" t="s">
        <v>41</v>
      </c>
      <c r="J171" s="1">
        <v>46328</v>
      </c>
      <c r="K171" t="s">
        <v>22</v>
      </c>
      <c r="L171" t="s">
        <v>58</v>
      </c>
      <c r="M171" t="s">
        <v>64</v>
      </c>
      <c r="N171">
        <v>0</v>
      </c>
      <c r="O171" t="s">
        <v>128</v>
      </c>
      <c r="P171">
        <v>2023</v>
      </c>
    </row>
    <row r="172" spans="1:16" x14ac:dyDescent="0.25">
      <c r="A172" t="s">
        <v>293</v>
      </c>
      <c r="C172" t="s">
        <v>383</v>
      </c>
      <c r="D172" t="s">
        <v>384</v>
      </c>
      <c r="E172" s="1">
        <v>45085</v>
      </c>
      <c r="F172" s="1">
        <v>45382</v>
      </c>
      <c r="G172" t="s">
        <v>51</v>
      </c>
      <c r="H172" t="s">
        <v>20</v>
      </c>
      <c r="I172" t="s">
        <v>41</v>
      </c>
      <c r="J172" s="1">
        <v>46173</v>
      </c>
      <c r="K172" t="s">
        <v>22</v>
      </c>
      <c r="L172" t="s">
        <v>33</v>
      </c>
      <c r="M172" t="s">
        <v>24</v>
      </c>
      <c r="N172">
        <v>7</v>
      </c>
      <c r="O172" t="s">
        <v>128</v>
      </c>
      <c r="P172">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1674-DB13-425D-9C08-6483098072F3}">
  <dimension ref="A1:W33"/>
  <sheetViews>
    <sheetView topLeftCell="B1" workbookViewId="0">
      <selection activeCell="S3" sqref="S3"/>
    </sheetView>
  </sheetViews>
  <sheetFormatPr defaultRowHeight="15" x14ac:dyDescent="0.25"/>
  <cols>
    <col min="1" max="1" width="14.7109375" bestFit="1" customWidth="1"/>
    <col min="2" max="2" width="10" customWidth="1"/>
    <col min="3" max="3" width="9.42578125" bestFit="1" customWidth="1"/>
    <col min="4" max="4" width="8.42578125" bestFit="1" customWidth="1"/>
    <col min="5" max="5" width="11.28515625" bestFit="1" customWidth="1"/>
  </cols>
  <sheetData>
    <row r="1" spans="1:23" x14ac:dyDescent="0.25">
      <c r="A1" s="2" t="s">
        <v>387</v>
      </c>
      <c r="B1" s="2" t="s">
        <v>388</v>
      </c>
      <c r="G1" s="2" t="s">
        <v>0</v>
      </c>
      <c r="H1" t="s" vm="1">
        <v>16</v>
      </c>
      <c r="K1" s="2" t="s">
        <v>0</v>
      </c>
      <c r="L1" t="s" vm="1">
        <v>16</v>
      </c>
      <c r="O1" s="2" t="s">
        <v>0</v>
      </c>
      <c r="P1" t="s" vm="1">
        <v>16</v>
      </c>
      <c r="S1" s="2" t="s">
        <v>0</v>
      </c>
      <c r="T1" t="s" vm="1">
        <v>16</v>
      </c>
    </row>
    <row r="2" spans="1:23" x14ac:dyDescent="0.25">
      <c r="A2" s="2" t="s">
        <v>385</v>
      </c>
      <c r="B2" t="s">
        <v>293</v>
      </c>
      <c r="C2" t="s">
        <v>16</v>
      </c>
      <c r="D2" t="s">
        <v>280</v>
      </c>
      <c r="E2" t="s">
        <v>386</v>
      </c>
    </row>
    <row r="3" spans="1:23" x14ac:dyDescent="0.25">
      <c r="A3" s="3">
        <v>2020</v>
      </c>
      <c r="B3" s="9">
        <v>20</v>
      </c>
      <c r="C3" s="9">
        <v>23</v>
      </c>
      <c r="D3" s="9"/>
      <c r="E3" s="9">
        <v>43</v>
      </c>
      <c r="G3" s="2" t="s">
        <v>385</v>
      </c>
      <c r="H3" t="s">
        <v>387</v>
      </c>
      <c r="I3" t="s">
        <v>393</v>
      </c>
      <c r="K3" s="2" t="s">
        <v>385</v>
      </c>
      <c r="L3" t="s">
        <v>387</v>
      </c>
      <c r="O3" s="2" t="s">
        <v>385</v>
      </c>
      <c r="P3" t="s">
        <v>387</v>
      </c>
      <c r="S3" s="2" t="s">
        <v>385</v>
      </c>
      <c r="T3" t="s">
        <v>387</v>
      </c>
      <c r="V3" t="s">
        <v>399</v>
      </c>
      <c r="W3" t="s">
        <v>397</v>
      </c>
    </row>
    <row r="4" spans="1:23" x14ac:dyDescent="0.25">
      <c r="A4" s="3">
        <v>2021</v>
      </c>
      <c r="B4" s="9">
        <v>12</v>
      </c>
      <c r="C4" s="9">
        <v>12</v>
      </c>
      <c r="D4" s="9">
        <v>1</v>
      </c>
      <c r="E4" s="9">
        <v>25</v>
      </c>
      <c r="G4" s="3" t="s">
        <v>41</v>
      </c>
      <c r="H4" s="9">
        <v>45</v>
      </c>
      <c r="K4" s="3" t="s">
        <v>212</v>
      </c>
      <c r="L4" s="9">
        <v>13</v>
      </c>
      <c r="O4" s="3" t="s">
        <v>34</v>
      </c>
      <c r="P4">
        <v>9</v>
      </c>
      <c r="S4" s="3" t="s">
        <v>51</v>
      </c>
      <c r="T4" s="9">
        <v>42</v>
      </c>
      <c r="V4" t="str">
        <f>S4</f>
        <v>Ryan Simmons</v>
      </c>
      <c r="W4">
        <f>T4</f>
        <v>42</v>
      </c>
    </row>
    <row r="5" spans="1:23" x14ac:dyDescent="0.25">
      <c r="A5" s="3">
        <v>2022</v>
      </c>
      <c r="B5" s="9">
        <v>10</v>
      </c>
      <c r="C5" s="9">
        <v>19</v>
      </c>
      <c r="D5" s="9">
        <v>4</v>
      </c>
      <c r="E5" s="9">
        <v>33</v>
      </c>
      <c r="G5" s="3" t="s">
        <v>21</v>
      </c>
      <c r="H5" s="9">
        <v>73</v>
      </c>
      <c r="K5" s="3" t="s">
        <v>23</v>
      </c>
      <c r="L5" s="9">
        <v>21</v>
      </c>
      <c r="O5" s="3" t="s">
        <v>28</v>
      </c>
      <c r="P5">
        <v>10</v>
      </c>
      <c r="S5" s="3" t="s">
        <v>40</v>
      </c>
      <c r="T5" s="9">
        <v>26</v>
      </c>
      <c r="V5" t="str">
        <f t="shared" ref="V5:V10" si="0">S5</f>
        <v>Janelle Wiley</v>
      </c>
      <c r="W5">
        <f t="shared" ref="W5:W10" si="1">T5</f>
        <v>26</v>
      </c>
    </row>
    <row r="6" spans="1:23" x14ac:dyDescent="0.25">
      <c r="A6" s="3">
        <v>2023</v>
      </c>
      <c r="B6" s="9">
        <v>4</v>
      </c>
      <c r="C6" s="9">
        <v>30</v>
      </c>
      <c r="D6" s="9">
        <v>1</v>
      </c>
      <c r="E6" s="9">
        <v>35</v>
      </c>
      <c r="G6" s="3" t="s">
        <v>386</v>
      </c>
      <c r="H6" s="9">
        <v>118</v>
      </c>
      <c r="K6" s="3" t="s">
        <v>58</v>
      </c>
      <c r="L6" s="9">
        <v>43</v>
      </c>
      <c r="O6" s="3" t="s">
        <v>64</v>
      </c>
      <c r="P6">
        <v>25</v>
      </c>
      <c r="S6" s="3" t="s">
        <v>37</v>
      </c>
      <c r="T6" s="9">
        <v>18</v>
      </c>
      <c r="V6" t="str">
        <f t="shared" si="0"/>
        <v>Roberta Moyer</v>
      </c>
      <c r="W6">
        <f t="shared" si="1"/>
        <v>18</v>
      </c>
    </row>
    <row r="7" spans="1:23" x14ac:dyDescent="0.25">
      <c r="A7" s="3">
        <v>2024</v>
      </c>
      <c r="B7" s="9"/>
      <c r="C7" s="9">
        <v>25</v>
      </c>
      <c r="D7" s="9"/>
      <c r="E7" s="9">
        <v>25</v>
      </c>
      <c r="K7" s="3" t="s">
        <v>33</v>
      </c>
      <c r="L7" s="9">
        <v>41</v>
      </c>
      <c r="O7" s="3" t="s">
        <v>61</v>
      </c>
      <c r="P7">
        <v>11</v>
      </c>
      <c r="S7" s="3" t="s">
        <v>19</v>
      </c>
      <c r="T7" s="9">
        <v>12</v>
      </c>
      <c r="V7" t="str">
        <f t="shared" si="0"/>
        <v>Alejandra Mack</v>
      </c>
      <c r="W7">
        <f t="shared" si="1"/>
        <v>12</v>
      </c>
    </row>
    <row r="8" spans="1:23" x14ac:dyDescent="0.25">
      <c r="A8" s="3">
        <v>2025</v>
      </c>
      <c r="B8" s="9">
        <v>1</v>
      </c>
      <c r="C8" s="9">
        <v>9</v>
      </c>
      <c r="D8" s="9"/>
      <c r="E8" s="9">
        <v>10</v>
      </c>
      <c r="K8" s="3" t="s">
        <v>386</v>
      </c>
      <c r="L8" s="9">
        <v>118</v>
      </c>
      <c r="O8" s="3" t="s">
        <v>153</v>
      </c>
      <c r="P8">
        <v>15</v>
      </c>
      <c r="S8" s="3" t="s">
        <v>53</v>
      </c>
      <c r="T8" s="9">
        <v>9</v>
      </c>
      <c r="V8" t="str">
        <f t="shared" si="0"/>
        <v>Darryl Leon</v>
      </c>
      <c r="W8">
        <f t="shared" si="1"/>
        <v>9</v>
      </c>
    </row>
    <row r="9" spans="1:23" x14ac:dyDescent="0.25">
      <c r="A9" s="3" t="s">
        <v>386</v>
      </c>
      <c r="B9" s="9">
        <v>47</v>
      </c>
      <c r="C9" s="9">
        <v>118</v>
      </c>
      <c r="D9" s="9">
        <v>6</v>
      </c>
      <c r="E9" s="9">
        <v>171</v>
      </c>
      <c r="O9" s="3" t="s">
        <v>24</v>
      </c>
      <c r="P9">
        <v>27</v>
      </c>
      <c r="S9" s="3" t="s">
        <v>48</v>
      </c>
      <c r="T9" s="9">
        <v>7</v>
      </c>
      <c r="V9" t="str">
        <f t="shared" si="0"/>
        <v>Jefferson Perry</v>
      </c>
      <c r="W9">
        <f t="shared" si="1"/>
        <v>7</v>
      </c>
    </row>
    <row r="10" spans="1:23" x14ac:dyDescent="0.25">
      <c r="O10" s="3" t="s">
        <v>90</v>
      </c>
      <c r="P10">
        <v>21</v>
      </c>
      <c r="S10" s="3" t="s">
        <v>44</v>
      </c>
      <c r="T10" s="9">
        <v>4</v>
      </c>
      <c r="V10" t="str">
        <f t="shared" si="0"/>
        <v>Geneva Hardy</v>
      </c>
      <c r="W10">
        <f t="shared" si="1"/>
        <v>4</v>
      </c>
    </row>
    <row r="11" spans="1:23" x14ac:dyDescent="0.25">
      <c r="O11" s="3" t="s">
        <v>386</v>
      </c>
      <c r="P11">
        <v>118</v>
      </c>
    </row>
    <row r="13" spans="1:23" x14ac:dyDescent="0.25">
      <c r="A13" t="s">
        <v>389</v>
      </c>
    </row>
    <row r="14" spans="1:23" x14ac:dyDescent="0.25">
      <c r="A14" t="s">
        <v>390</v>
      </c>
      <c r="C14" t="s">
        <v>391</v>
      </c>
      <c r="F14" s="2" t="s">
        <v>0</v>
      </c>
      <c r="G14" t="s" vm="1">
        <v>16</v>
      </c>
      <c r="J14" s="2" t="s">
        <v>0</v>
      </c>
      <c r="K14" t="s" vm="1">
        <v>16</v>
      </c>
    </row>
    <row r="15" spans="1:23" x14ac:dyDescent="0.25">
      <c r="A15" s="4">
        <v>171</v>
      </c>
      <c r="C15" s="4">
        <v>118</v>
      </c>
      <c r="N15" s="2" t="s">
        <v>0</v>
      </c>
      <c r="O15" t="s" vm="1">
        <v>16</v>
      </c>
    </row>
    <row r="16" spans="1:23" x14ac:dyDescent="0.25">
      <c r="G16" s="2" t="s">
        <v>388</v>
      </c>
      <c r="J16" s="2" t="s">
        <v>385</v>
      </c>
      <c r="K16" t="s">
        <v>387</v>
      </c>
    </row>
    <row r="17" spans="1:17" x14ac:dyDescent="0.25">
      <c r="A17" t="s">
        <v>293</v>
      </c>
      <c r="C17" s="5" t="s">
        <v>392</v>
      </c>
      <c r="G17" t="s">
        <v>212</v>
      </c>
      <c r="H17" t="s">
        <v>20</v>
      </c>
      <c r="I17" t="s">
        <v>386</v>
      </c>
      <c r="J17" s="3" t="s">
        <v>25</v>
      </c>
      <c r="K17" s="9">
        <v>24</v>
      </c>
      <c r="O17" s="2" t="s">
        <v>388</v>
      </c>
    </row>
    <row r="18" spans="1:17" x14ac:dyDescent="0.25">
      <c r="A18" s="4">
        <v>47</v>
      </c>
      <c r="C18" s="5">
        <v>0.27485380116959063</v>
      </c>
      <c r="F18" t="s">
        <v>387</v>
      </c>
      <c r="G18" s="8">
        <v>0.11016949152542373</v>
      </c>
      <c r="H18" s="8">
        <v>0.88983050847457623</v>
      </c>
      <c r="I18" s="8">
        <v>1</v>
      </c>
      <c r="J18" s="3" t="s">
        <v>73</v>
      </c>
      <c r="K18" s="9">
        <v>11</v>
      </c>
      <c r="O18" t="s">
        <v>212</v>
      </c>
      <c r="P18" t="s">
        <v>20</v>
      </c>
      <c r="Q18" t="s">
        <v>386</v>
      </c>
    </row>
    <row r="19" spans="1:17" x14ac:dyDescent="0.25">
      <c r="J19" s="3" t="s">
        <v>93</v>
      </c>
      <c r="K19" s="9">
        <v>19</v>
      </c>
      <c r="N19" t="s">
        <v>387</v>
      </c>
      <c r="O19" s="9">
        <v>13</v>
      </c>
      <c r="P19" s="9">
        <v>105</v>
      </c>
      <c r="Q19" s="9">
        <v>118</v>
      </c>
    </row>
    <row r="20" spans="1:17" x14ac:dyDescent="0.25">
      <c r="A20" t="s">
        <v>280</v>
      </c>
      <c r="J20" s="3" t="s">
        <v>128</v>
      </c>
      <c r="K20" s="9">
        <v>33</v>
      </c>
    </row>
    <row r="21" spans="1:17" x14ac:dyDescent="0.25">
      <c r="A21" s="4">
        <v>6</v>
      </c>
      <c r="J21" s="3" t="s">
        <v>169</v>
      </c>
      <c r="K21" s="9">
        <v>27</v>
      </c>
    </row>
    <row r="22" spans="1:17" x14ac:dyDescent="0.25">
      <c r="J22" s="3" t="s">
        <v>205</v>
      </c>
      <c r="K22" s="9">
        <v>4</v>
      </c>
    </row>
    <row r="23" spans="1:17" x14ac:dyDescent="0.25">
      <c r="J23" s="3" t="s">
        <v>386</v>
      </c>
      <c r="K23" s="9">
        <v>118</v>
      </c>
    </row>
    <row r="27" spans="1:17" x14ac:dyDescent="0.25">
      <c r="A27" t="s">
        <v>395</v>
      </c>
      <c r="B27" t="s">
        <v>293</v>
      </c>
      <c r="C27" t="s">
        <v>16</v>
      </c>
      <c r="D27" t="s">
        <v>280</v>
      </c>
      <c r="E27" t="s">
        <v>394</v>
      </c>
      <c r="K27" t="s">
        <v>396</v>
      </c>
      <c r="L27" t="s">
        <v>397</v>
      </c>
      <c r="M27" t="s">
        <v>398</v>
      </c>
    </row>
    <row r="28" spans="1:17" x14ac:dyDescent="0.25">
      <c r="A28">
        <f t="shared" ref="A28:D33" si="2">A3</f>
        <v>2020</v>
      </c>
      <c r="B28">
        <f t="shared" si="2"/>
        <v>20</v>
      </c>
      <c r="C28">
        <f t="shared" si="2"/>
        <v>23</v>
      </c>
      <c r="D28">
        <f t="shared" si="2"/>
        <v>0</v>
      </c>
      <c r="E28">
        <f>C28</f>
        <v>23</v>
      </c>
      <c r="K28" t="str">
        <f t="shared" ref="K28:L32" si="3">K4</f>
        <v>Contract</v>
      </c>
      <c r="L28">
        <f t="shared" si="3"/>
        <v>13</v>
      </c>
      <c r="M28" s="7">
        <f>L28/$L$32</f>
        <v>0.11016949152542373</v>
      </c>
    </row>
    <row r="29" spans="1:17" x14ac:dyDescent="0.25">
      <c r="A29">
        <f t="shared" si="2"/>
        <v>2021</v>
      </c>
      <c r="B29">
        <f t="shared" si="2"/>
        <v>12</v>
      </c>
      <c r="C29">
        <f t="shared" si="2"/>
        <v>12</v>
      </c>
      <c r="D29">
        <f t="shared" si="2"/>
        <v>1</v>
      </c>
      <c r="E29">
        <f>E28+C29</f>
        <v>35</v>
      </c>
      <c r="K29" t="str">
        <f t="shared" si="3"/>
        <v>Management</v>
      </c>
      <c r="L29">
        <f t="shared" si="3"/>
        <v>21</v>
      </c>
      <c r="M29" s="7">
        <f>L29/$L$32</f>
        <v>0.17796610169491525</v>
      </c>
    </row>
    <row r="30" spans="1:17" x14ac:dyDescent="0.25">
      <c r="A30">
        <f t="shared" si="2"/>
        <v>2022</v>
      </c>
      <c r="B30">
        <f t="shared" si="2"/>
        <v>10</v>
      </c>
      <c r="C30">
        <f t="shared" si="2"/>
        <v>19</v>
      </c>
      <c r="D30">
        <f t="shared" si="2"/>
        <v>4</v>
      </c>
      <c r="E30">
        <f>E29+C30</f>
        <v>54</v>
      </c>
      <c r="K30" t="str">
        <f t="shared" si="3"/>
        <v>Professional</v>
      </c>
      <c r="L30">
        <f t="shared" si="3"/>
        <v>43</v>
      </c>
      <c r="M30" s="7">
        <f>L30/$L$32</f>
        <v>0.36440677966101692</v>
      </c>
    </row>
    <row r="31" spans="1:17" x14ac:dyDescent="0.25">
      <c r="A31">
        <f t="shared" si="2"/>
        <v>2023</v>
      </c>
      <c r="B31">
        <f t="shared" si="2"/>
        <v>4</v>
      </c>
      <c r="C31">
        <f t="shared" si="2"/>
        <v>30</v>
      </c>
      <c r="D31">
        <f t="shared" si="2"/>
        <v>1</v>
      </c>
      <c r="E31">
        <f>E30+C31</f>
        <v>84</v>
      </c>
      <c r="K31" t="str">
        <f t="shared" si="3"/>
        <v>Trainees</v>
      </c>
      <c r="L31">
        <f t="shared" si="3"/>
        <v>41</v>
      </c>
      <c r="M31" s="7">
        <f>L31/$L$32</f>
        <v>0.34745762711864409</v>
      </c>
    </row>
    <row r="32" spans="1:17" x14ac:dyDescent="0.25">
      <c r="A32">
        <f t="shared" si="2"/>
        <v>2024</v>
      </c>
      <c r="B32">
        <f t="shared" si="2"/>
        <v>0</v>
      </c>
      <c r="C32">
        <f t="shared" si="2"/>
        <v>25</v>
      </c>
      <c r="D32">
        <f t="shared" si="2"/>
        <v>0</v>
      </c>
      <c r="E32">
        <f>E31+C32</f>
        <v>109</v>
      </c>
      <c r="K32" t="str">
        <f t="shared" si="3"/>
        <v>Grand Total</v>
      </c>
      <c r="L32">
        <f t="shared" si="3"/>
        <v>118</v>
      </c>
      <c r="M32" s="7">
        <f>L32/$L$32</f>
        <v>1</v>
      </c>
    </row>
    <row r="33" spans="1:5" x14ac:dyDescent="0.25">
      <c r="A33">
        <f t="shared" si="2"/>
        <v>2025</v>
      </c>
      <c r="B33">
        <f t="shared" si="2"/>
        <v>1</v>
      </c>
      <c r="C33">
        <f t="shared" si="2"/>
        <v>9</v>
      </c>
      <c r="D33">
        <f t="shared" si="2"/>
        <v>0</v>
      </c>
      <c r="E33">
        <f>E32+C33</f>
        <v>118</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3483-1BCA-46AF-9D5F-F0CD4BC52AF5}">
  <dimension ref="A1:AD46"/>
  <sheetViews>
    <sheetView tabSelected="1" workbookViewId="0">
      <selection activeCell="C9" sqref="C9"/>
    </sheetView>
  </sheetViews>
  <sheetFormatPr defaultRowHeight="15" x14ac:dyDescent="0.25"/>
  <sheetData>
    <row r="1" spans="1:30"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D230A80F-8219-4618-9A93-369B9EE1338C}">
  <ds:schemaRefs/>
</ds:datastoreItem>
</file>

<file path=customXml/itemProps2.xml><?xml version="1.0" encoding="utf-8"?>
<ds:datastoreItem xmlns:ds="http://schemas.openxmlformats.org/officeDocument/2006/customXml" ds:itemID="{B746FDA4-33DA-4EBE-AE53-D78C819600C4}">
  <ds:schemaRefs/>
</ds:datastoreItem>
</file>

<file path=customXml/itemProps3.xml><?xml version="1.0" encoding="utf-8"?>
<ds:datastoreItem xmlns:ds="http://schemas.openxmlformats.org/officeDocument/2006/customXml" ds:itemID="{2CF33375-E67F-48F3-87F9-788330784120}">
  <ds:schemaRefs/>
</ds:datastoreItem>
</file>

<file path=customXml/itemProps4.xml><?xml version="1.0" encoding="utf-8"?>
<ds:datastoreItem xmlns:ds="http://schemas.openxmlformats.org/officeDocument/2006/customXml" ds:itemID="{8417EF47-D8BD-430D-B243-12DDD1BA9F63}">
  <ds:schemaRefs/>
</ds:datastoreItem>
</file>

<file path=customXml/itemProps5.xml><?xml version="1.0" encoding="utf-8"?>
<ds:datastoreItem xmlns:ds="http://schemas.openxmlformats.org/officeDocument/2006/customXml" ds:itemID="{04BD315E-B426-49CC-A3EA-6D14054F9DD1}">
  <ds:schemaRefs/>
</ds:datastoreItem>
</file>

<file path=customXml/itemProps6.xml><?xml version="1.0" encoding="utf-8"?>
<ds:datastoreItem xmlns:ds="http://schemas.openxmlformats.org/officeDocument/2006/customXml" ds:itemID="{0A7DCB49-6943-45B7-B7ED-4DE17626889E}">
  <ds:schemaRefs/>
</ds:datastoreItem>
</file>

<file path=customXml/itemProps7.xml><?xml version="1.0" encoding="utf-8"?>
<ds:datastoreItem xmlns:ds="http://schemas.openxmlformats.org/officeDocument/2006/customXml" ds:itemID="{48E4C241-A607-4967-9FD9-10F24B4D5B9D}">
  <ds:schemaRefs/>
</ds:datastoreItem>
</file>

<file path=customXml/itemProps8.xml><?xml version="1.0" encoding="utf-8"?>
<ds:datastoreItem xmlns:ds="http://schemas.openxmlformats.org/officeDocument/2006/customXml" ds:itemID="{E65F11F9-6AED-4DC0-8C32-076A518F03AE}">
  <ds:schemaRefs/>
</ds:datastoreItem>
</file>

<file path=customXml/itemProps9.xml><?xml version="1.0" encoding="utf-8"?>
<ds:datastoreItem xmlns:ds="http://schemas.openxmlformats.org/officeDocument/2006/customXml" ds:itemID="{F13897FA-B7A8-44B3-B07B-675D59B76223}">
  <ds:schemaRefs/>
</ds:datastoreItem>
</file>

<file path=customXml/itemProps10.xml><?xml version="1.0" encoding="utf-8"?>
<ds:datastoreItem xmlns:ds="http://schemas.openxmlformats.org/officeDocument/2006/customXml" ds:itemID="{7BB31457-C950-4FB9-9148-5E2103B3642C}">
  <ds:schemaRefs/>
</ds:datastoreItem>
</file>

<file path=customXml/itemProps11.xml><?xml version="1.0" encoding="utf-8"?>
<ds:datastoreItem xmlns:ds="http://schemas.openxmlformats.org/officeDocument/2006/customXml" ds:itemID="{E0EA7F81-2374-4ABA-B1A3-4A6AA09FDB46}">
  <ds:schemaRefs/>
</ds:datastoreItem>
</file>

<file path=customXml/itemProps12.xml><?xml version="1.0" encoding="utf-8"?>
<ds:datastoreItem xmlns:ds="http://schemas.openxmlformats.org/officeDocument/2006/customXml" ds:itemID="{43E141A8-06BD-40BD-AD78-1F7F1C82B1F0}">
  <ds:schemaRefs/>
</ds:datastoreItem>
</file>

<file path=customXml/itemProps13.xml><?xml version="1.0" encoding="utf-8"?>
<ds:datastoreItem xmlns:ds="http://schemas.openxmlformats.org/officeDocument/2006/customXml" ds:itemID="{08A5BCBF-A6E0-4719-ACCA-2354BD446C20}">
  <ds:schemaRefs/>
</ds:datastoreItem>
</file>

<file path=customXml/itemProps14.xml><?xml version="1.0" encoding="utf-8"?>
<ds:datastoreItem xmlns:ds="http://schemas.openxmlformats.org/officeDocument/2006/customXml" ds:itemID="{CC8B563F-6C0A-4F5D-8AF3-71DF706CC84E}">
  <ds:schemaRefs/>
</ds:datastoreItem>
</file>

<file path=customXml/itemProps15.xml><?xml version="1.0" encoding="utf-8"?>
<ds:datastoreItem xmlns:ds="http://schemas.openxmlformats.org/officeDocument/2006/customXml" ds:itemID="{B5881652-4DD0-4E33-B9CD-E2FE03B858A0}">
  <ds:schemaRefs/>
</ds:datastoreItem>
</file>

<file path=customXml/itemProps16.xml><?xml version="1.0" encoding="utf-8"?>
<ds:datastoreItem xmlns:ds="http://schemas.openxmlformats.org/officeDocument/2006/customXml" ds:itemID="{B370594C-DB99-4304-9461-DAE96A8CCE33}">
  <ds:schemaRefs/>
</ds:datastoreItem>
</file>

<file path=customXml/itemProps17.xml><?xml version="1.0" encoding="utf-8"?>
<ds:datastoreItem xmlns:ds="http://schemas.openxmlformats.org/officeDocument/2006/customXml" ds:itemID="{4CBC7AF9-F9C0-413C-9CF5-13F3485F0865}">
  <ds:schemaRefs/>
</ds:datastoreItem>
</file>

<file path=customXml/itemProps18.xml><?xml version="1.0" encoding="utf-8"?>
<ds:datastoreItem xmlns:ds="http://schemas.openxmlformats.org/officeDocument/2006/customXml" ds:itemID="{55310CFA-EB4A-435B-9147-98E15070D860}">
  <ds:schemaRefs/>
</ds:datastoreItem>
</file>

<file path=customXml/itemProps19.xml><?xml version="1.0" encoding="utf-8"?>
<ds:datastoreItem xmlns:ds="http://schemas.openxmlformats.org/officeDocument/2006/customXml" ds:itemID="{B237A045-28E6-4AA6-B494-21C87A1D3530}">
  <ds:schemaRefs/>
</ds:datastoreItem>
</file>

<file path=customXml/itemProps20.xml><?xml version="1.0" encoding="utf-8"?>
<ds:datastoreItem xmlns:ds="http://schemas.openxmlformats.org/officeDocument/2006/customXml" ds:itemID="{4D883E3B-F047-46BF-96E6-5045B86353DD}">
  <ds:schemaRefs/>
</ds:datastoreItem>
</file>

<file path=customXml/itemProps21.xml><?xml version="1.0" encoding="utf-8"?>
<ds:datastoreItem xmlns:ds="http://schemas.openxmlformats.org/officeDocument/2006/customXml" ds:itemID="{E2794BCE-3E0F-45A6-B078-06D0B5B74C5F}">
  <ds:schemaRefs/>
</ds:datastoreItem>
</file>

<file path=customXml/itemProps22.xml><?xml version="1.0" encoding="utf-8"?>
<ds:datastoreItem xmlns:ds="http://schemas.openxmlformats.org/officeDocument/2006/customXml" ds:itemID="{42FCDF6F-B3A3-4F8F-AED8-04BF7A61D9ED}">
  <ds:schemaRefs/>
</ds:datastoreItem>
</file>

<file path=customXml/itemProps23.xml><?xml version="1.0" encoding="utf-8"?>
<ds:datastoreItem xmlns:ds="http://schemas.openxmlformats.org/officeDocument/2006/customXml" ds:itemID="{D6FD7EA6-00DF-4F6E-AD93-D91886424630}">
  <ds:schemaRefs/>
</ds:datastoreItem>
</file>

<file path=customXml/itemProps24.xml><?xml version="1.0" encoding="utf-8"?>
<ds:datastoreItem xmlns:ds="http://schemas.openxmlformats.org/officeDocument/2006/customXml" ds:itemID="{969DB2C8-537B-4DB7-A951-FB85F6E728B6}">
  <ds:schemaRefs/>
</ds:datastoreItem>
</file>

<file path=customXml/itemProps25.xml><?xml version="1.0" encoding="utf-8"?>
<ds:datastoreItem xmlns:ds="http://schemas.openxmlformats.org/officeDocument/2006/customXml" ds:itemID="{BE315062-DD64-470F-ABA6-AAE5D3E8AAB1}">
  <ds:schemaRefs/>
</ds:datastoreItem>
</file>

<file path=customXml/itemProps26.xml><?xml version="1.0" encoding="utf-8"?>
<ds:datastoreItem xmlns:ds="http://schemas.openxmlformats.org/officeDocument/2006/customXml" ds:itemID="{EA48CCA3-6308-4B75-9BA6-A1404DAE75B0}">
  <ds:schemaRefs/>
</ds:datastoreItem>
</file>

<file path=customXml/itemProps27.xml><?xml version="1.0" encoding="utf-8"?>
<ds:datastoreItem xmlns:ds="http://schemas.openxmlformats.org/officeDocument/2006/customXml" ds:itemID="{48A43F3B-DC6B-4314-8B4D-8C7F357E0FE8}">
  <ds:schemaRefs/>
</ds:datastoreItem>
</file>

<file path=customXml/itemProps28.xml><?xml version="1.0" encoding="utf-8"?>
<ds:datastoreItem xmlns:ds="http://schemas.openxmlformats.org/officeDocument/2006/customXml" ds:itemID="{D558DC05-A7B7-4B95-A03B-F259F5EAFB04}">
  <ds:schemaRefs/>
</ds:datastoreItem>
</file>

<file path=customXml/itemProps29.xml><?xml version="1.0" encoding="utf-8"?>
<ds:datastoreItem xmlns:ds="http://schemas.openxmlformats.org/officeDocument/2006/customXml" ds:itemID="{93D7C317-A7F8-45A6-8EDA-5DC5721FA116}">
  <ds:schemaRefs/>
</ds:datastoreItem>
</file>

<file path=customXml/itemProps30.xml><?xml version="1.0" encoding="utf-8"?>
<ds:datastoreItem xmlns:ds="http://schemas.openxmlformats.org/officeDocument/2006/customXml" ds:itemID="{F960717B-B642-4C6C-ADA9-C46AA7FA6838}">
  <ds:schemaRefs>
    <ds:schemaRef ds:uri="http://schemas.microsoft.com/DataMashup"/>
  </ds:schemaRefs>
</ds:datastoreItem>
</file>

<file path=customXml/itemProps31.xml><?xml version="1.0" encoding="utf-8"?>
<ds:datastoreItem xmlns:ds="http://schemas.openxmlformats.org/officeDocument/2006/customXml" ds:itemID="{ABA34DE1-0F56-416B-AE9F-EF408128FA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LBSTI Gautam Nagar</dc:creator>
  <cp:lastModifiedBy>LBSTI Gautam Nagar</cp:lastModifiedBy>
  <dcterms:created xsi:type="dcterms:W3CDTF">2026-01-19T08:47:20Z</dcterms:created>
  <dcterms:modified xsi:type="dcterms:W3CDTF">2026-01-20T09:19:02Z</dcterms:modified>
</cp:coreProperties>
</file>